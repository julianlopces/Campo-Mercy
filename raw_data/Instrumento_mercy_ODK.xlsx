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autoCompressPictures="0"/>
  <mc:AlternateContent xmlns:mc="http://schemas.openxmlformats.org/markup-compatibility/2006">
    <mc:Choice Requires="x15">
      <x15ac:absPath xmlns:x15ac="http://schemas.microsoft.com/office/spreadsheetml/2010/11/ac" url="G:\Unidades compartidas\EQUILIBRIUM   Intranet 🌍📂\🥁 PROYECTOS\🏆 Proyectos S. Desarrollo\176. Mercy Corps\02. Implementación\Campo Mercy\raw_data\"/>
    </mc:Choice>
  </mc:AlternateContent>
  <xr:revisionPtr revIDLastSave="0" documentId="13_ncr:1_{FE55A30B-7E33-4A63-A1C2-24FC6E21CD28}" xr6:coauthVersionLast="47" xr6:coauthVersionMax="47" xr10:uidLastSave="{00000000-0000-0000-0000-000000000000}"/>
  <bookViews>
    <workbookView xWindow="-120" yWindow="-120" windowWidth="29040" windowHeight="15720" tabRatio="534" xr2:uid="{00000000-000D-0000-FFFF-FFFF00000000}"/>
  </bookViews>
  <sheets>
    <sheet name="survey" sheetId="1" r:id="rId1"/>
    <sheet name="choices" sheetId="2" r:id="rId2"/>
    <sheet name="settings" sheetId="3" r:id="rId3"/>
    <sheet name="help-survey" sheetId="4" r:id="rId4"/>
    <sheet name="help-choices" sheetId="5" r:id="rId5"/>
    <sheet name="help-settings" sheetId="6" r:id="rId6"/>
  </sheets>
  <definedNames>
    <definedName name="_xlnm._FilterDatabase" localSheetId="1" hidden="1">choices!$A$1:$D$161</definedName>
    <definedName name="_xlnm._FilterDatabase" localSheetId="0" hidden="1">survey!$A$1:$T$220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N161" i="1" l="1"/>
  <c r="B161" i="1"/>
  <c r="N209" i="1"/>
  <c r="B209" i="1"/>
  <c r="N206" i="1"/>
  <c r="B206" i="1"/>
  <c r="N203" i="1"/>
  <c r="B203" i="1"/>
  <c r="N200" i="1"/>
  <c r="B200" i="1"/>
  <c r="N197" i="1"/>
  <c r="B197" i="1"/>
  <c r="N194" i="1"/>
  <c r="B194" i="1"/>
  <c r="N191" i="1"/>
  <c r="B191" i="1"/>
  <c r="N188" i="1"/>
  <c r="B188" i="1"/>
  <c r="N185" i="1"/>
  <c r="B185" i="1"/>
  <c r="N182" i="1"/>
  <c r="B182" i="1"/>
  <c r="N179" i="1"/>
  <c r="B179" i="1"/>
  <c r="N175" i="1"/>
  <c r="B175" i="1"/>
  <c r="N172" i="1"/>
  <c r="B172" i="1"/>
  <c r="N169" i="1"/>
  <c r="B169" i="1"/>
  <c r="N166" i="1"/>
  <c r="B166" i="1"/>
  <c r="N163" i="1"/>
  <c r="B163" i="1"/>
  <c r="C75" i="4"/>
  <c r="C2" i="3"/>
</calcChain>
</file>

<file path=xl/sharedStrings.xml><?xml version="1.0" encoding="utf-8"?>
<sst xmlns="http://schemas.openxmlformats.org/spreadsheetml/2006/main" count="1638" uniqueCount="945">
  <si>
    <t>deviceid</t>
    <phoneticPr fontId="1" type="noConversion"/>
  </si>
  <si>
    <t>type</t>
  </si>
  <si>
    <t>name</t>
  </si>
  <si>
    <t>default</t>
    <phoneticPr fontId="1" type="noConversion"/>
  </si>
  <si>
    <t>media:image</t>
    <phoneticPr fontId="1" type="noConversion"/>
  </si>
  <si>
    <t>hint</t>
    <phoneticPr fontId="1" type="noConversion"/>
  </si>
  <si>
    <t>appearance</t>
    <phoneticPr fontId="1" type="noConversion"/>
  </si>
  <si>
    <t>constraint</t>
    <phoneticPr fontId="1" type="noConversion"/>
  </si>
  <si>
    <t>relevance</t>
    <phoneticPr fontId="1" type="noConversion"/>
  </si>
  <si>
    <t>required</t>
    <phoneticPr fontId="1" type="noConversion"/>
  </si>
  <si>
    <t>read only</t>
    <phoneticPr fontId="1" type="noConversion"/>
  </si>
  <si>
    <t>media:audio</t>
    <phoneticPr fontId="1" type="noConversion"/>
  </si>
  <si>
    <t>media:video</t>
    <phoneticPr fontId="1" type="noConversion"/>
  </si>
  <si>
    <t>calculation</t>
    <phoneticPr fontId="1" type="noConversion"/>
  </si>
  <si>
    <t>disabled</t>
    <phoneticPr fontId="1" type="noConversion"/>
  </si>
  <si>
    <t>starttime</t>
  </si>
  <si>
    <t>endtime</t>
  </si>
  <si>
    <t>form_title</t>
  </si>
  <si>
    <t>form_id</t>
  </si>
  <si>
    <t>public_key</t>
  </si>
  <si>
    <t>submission_url</t>
  </si>
  <si>
    <t>version</t>
  </si>
  <si>
    <t>label</t>
  </si>
  <si>
    <t>list_name</t>
  </si>
  <si>
    <t>image</t>
  </si>
  <si>
    <t>default_language</t>
  </si>
  <si>
    <t>No</t>
  </si>
  <si>
    <t>start</t>
  </si>
  <si>
    <t>end</t>
  </si>
  <si>
    <t>deviceid</t>
  </si>
  <si>
    <t>subscriberid</t>
  </si>
  <si>
    <t>phonenumber</t>
  </si>
  <si>
    <t>simserial</t>
  </si>
  <si>
    <t>repeat_count</t>
  </si>
  <si>
    <t>required message</t>
  </si>
  <si>
    <t>constraint message</t>
  </si>
  <si>
    <t>note</t>
  </si>
  <si>
    <t>consent</t>
  </si>
  <si>
    <t>yes</t>
  </si>
  <si>
    <t>begin group</t>
  </si>
  <si>
    <t>begin repeat</t>
  </si>
  <si>
    <t>calculate</t>
  </si>
  <si>
    <t>position(..)</t>
  </si>
  <si>
    <t>text</t>
  </si>
  <si>
    <t>end repeat</t>
  </si>
  <si>
    <t>integer</t>
  </si>
  <si>
    <t>end group</t>
  </si>
  <si>
    <t>response_note</t>
  </si>
  <si>
    <t>The survey worksheet</t>
  </si>
  <si>
    <r>
      <t>This worksheet specifies all of the groups, questions, and other fields in your survey form, each in its own row. Aside from overall settings and lists of multiple-choice options, everything about your survey form is specified in this worksheet.</t>
    </r>
    <r>
      <rPr>
        <sz val="12"/>
        <color indexed="8"/>
        <rFont val="Calibri"/>
        <family val="2"/>
      </rPr>
      <t xml:space="preserve">
For more help, see the following help topic: </t>
    </r>
    <r>
      <rPr>
        <i/>
        <sz val="12"/>
        <color indexed="8"/>
        <rFont val="Calibri"/>
        <family val="2"/>
      </rPr>
      <t>How do I design my form?</t>
    </r>
  </si>
  <si>
    <t>label:languagename</t>
  </si>
  <si>
    <t>hint:languagename</t>
  </si>
  <si>
    <t>constraint message:languagename</t>
  </si>
  <si>
    <t>required message:languagename</t>
  </si>
  <si>
    <t>media:image:languagename</t>
  </si>
  <si>
    <t>media:audio:languagename</t>
  </si>
  <si>
    <t>media:video:languagename</t>
  </si>
  <si>
    <t>choice_filter</t>
  </si>
  <si>
    <r>
      <t xml:space="preserve">This column specifies the type of the field or group. It has to follow a pre-specified format, and Excel's conditional formatting has been used to auto-highlight rows that appear to have a valid </t>
    </r>
    <r>
      <rPr>
        <i/>
        <sz val="12"/>
        <color indexed="8"/>
        <rFont val="Calibri"/>
        <family val="2"/>
      </rPr>
      <t>type</t>
    </r>
    <r>
      <rPr>
        <sz val="12"/>
        <color indexed="8"/>
        <rFont val="Calibri"/>
        <family val="2"/>
      </rPr>
      <t xml:space="preserve"> column -- so, if you are using Excel and your row is </t>
    </r>
    <r>
      <rPr>
        <i/>
        <sz val="12"/>
        <color indexed="8"/>
        <rFont val="Calibri"/>
        <family val="2"/>
      </rPr>
      <t>not</t>
    </r>
    <r>
      <rPr>
        <sz val="12"/>
        <color indexed="8"/>
        <rFont val="Calibri"/>
        <family val="2"/>
      </rPr>
      <t xml:space="preserve"> automatically highlighted, re-check that you have entered the type properly. See below for an exhaustive list of brief examples.</t>
    </r>
  </si>
  <si>
    <r>
      <t xml:space="preserve">This column specifies the name of the field or group. Field names must be unique, and they cannot include any spaces or punctuation. Example: </t>
    </r>
    <r>
      <rPr>
        <b/>
        <sz val="12"/>
        <color indexed="8"/>
        <rFont val="Calibri"/>
        <family val="2"/>
      </rPr>
      <t>age</t>
    </r>
  </si>
  <si>
    <r>
      <t xml:space="preserve">For those field types that present a user interface, this column is where you put the primary text for the question or field. You can include line-breaks in your label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</si>
  <si>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labels in an alternative language.</t>
    </r>
  </si>
  <si>
    <r>
      <t xml:space="preserve">Text in this column, if any, will appear italicized beneath the field's label. You can include line-breaks in your hint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</si>
  <si>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hint:languagename</t>
    </r>
    <r>
      <rPr>
        <sz val="12"/>
        <color indexed="8"/>
        <rFont val="Calibri"/>
        <family val="2"/>
      </rPr>
      <t xml:space="preserve"> column (e.g., </t>
    </r>
    <r>
      <rPr>
        <i/>
        <sz val="12"/>
        <color indexed="8"/>
        <rFont val="Calibri"/>
        <family val="2"/>
      </rPr>
      <t>hint:tamil</t>
    </r>
    <r>
      <rPr>
        <sz val="12"/>
        <color indexed="8"/>
        <rFont val="Calibri"/>
        <family val="2"/>
      </rPr>
      <t>) may be added in order to provide hints in an alternative language.</t>
    </r>
  </si>
  <si>
    <r>
      <t xml:space="preserve">If you want to default the user's entry or selection for a given field, you can specify a number or some text in this column. 
Alternatively, you can specify an expression for dynamically calculating the field's default entry or selection, in the </t>
    </r>
    <r>
      <rPr>
        <i/>
        <sz val="12"/>
        <color indexed="8"/>
        <rFont val="Calibri"/>
        <family val="2"/>
      </rPr>
      <t xml:space="preserve">calculation </t>
    </r>
    <r>
      <rPr>
        <sz val="12"/>
        <color indexed="8"/>
        <rFont val="Calibri"/>
        <family val="2"/>
      </rPr>
      <t xml:space="preserve">column. See the following help topic for more details: </t>
    </r>
    <r>
      <rPr>
        <i/>
        <sz val="12"/>
        <color indexed="8"/>
        <rFont val="Calibri"/>
        <family val="2"/>
      </rPr>
      <t>How can I provide default entries or selections for users filling out my form?</t>
    </r>
    <r>
      <rPr>
        <sz val="12"/>
        <color indexed="8"/>
        <rFont val="Calibri"/>
        <family val="2"/>
      </rPr>
      <t xml:space="preserve"> </t>
    </r>
  </si>
  <si>
    <r>
      <t>For field types that allow multiple appearances</t>
    </r>
    <r>
      <rPr>
        <sz val="12"/>
        <color indexed="8"/>
        <rFont val="Calibri"/>
        <family val="2"/>
      </rPr>
      <t xml:space="preserve">, you can specify the appearance style in this column (e.g., </t>
    </r>
    <r>
      <rPr>
        <i/>
        <sz val="12"/>
        <color indexed="8"/>
        <rFont val="Calibri"/>
        <family val="2"/>
      </rPr>
      <t>quick</t>
    </r>
    <r>
      <rPr>
        <sz val="12"/>
        <color indexed="8"/>
        <rFont val="Calibri"/>
        <family val="2"/>
      </rPr>
      <t xml:space="preserve"> or </t>
    </r>
    <r>
      <rPr>
        <i/>
        <sz val="12"/>
        <color indexed="8"/>
        <rFont val="Calibri"/>
        <family val="2"/>
      </rPr>
      <t>minimal</t>
    </r>
    <r>
      <rPr>
        <sz val="12"/>
        <color indexed="8"/>
        <rFont val="Calibri"/>
        <family val="2"/>
      </rPr>
      <t xml:space="preserve"> for </t>
    </r>
    <r>
      <rPr>
        <i/>
        <sz val="12"/>
        <color indexed="8"/>
        <rFont val="Calibri"/>
        <family val="2"/>
      </rPr>
      <t>select_one</t>
    </r>
    <r>
      <rPr>
        <sz val="12"/>
        <color indexed="8"/>
        <rFont val="Calibri"/>
        <family val="2"/>
      </rPr>
      <t xml:space="preserve"> fields). See the individual examples below.</t>
    </r>
  </si>
  <si>
    <r>
      <t xml:space="preserve">Enter an expression into this column to validate entered or selected values. The user will only be allowed to proceed to the next question when the expression evaluates to true. Use the </t>
    </r>
    <r>
      <rPr>
        <i/>
        <sz val="12"/>
        <color indexed="8"/>
        <rFont val="Calibri"/>
        <family val="2"/>
      </rPr>
      <t xml:space="preserve">constraint builder </t>
    </r>
    <r>
      <rPr>
        <sz val="12"/>
        <color indexed="8"/>
        <rFont val="Calibri"/>
        <family val="2"/>
      </rPr>
      <t xml:space="preserve">to build new constraint expressions. </t>
    </r>
    <r>
      <rPr>
        <sz val="12"/>
        <color indexed="8"/>
        <rFont val="Calibri"/>
        <family val="2"/>
      </rPr>
      <t xml:space="preserve">(Also see the expression quick-reference following the examples below.) Example: </t>
    </r>
    <r>
      <rPr>
        <b/>
        <sz val="12"/>
        <color indexed="8"/>
        <rFont val="Calibri"/>
        <family val="2"/>
      </rPr>
      <t>. &lt; 130</t>
    </r>
  </si>
  <si>
    <t>If the user tries to move forward but the constraint expression is false, a generic "That entry is invalid" message will appear; to override this message on a field-by-field basis, enter another message into this column.</t>
  </si>
  <si>
    <r>
      <t xml:space="preserve">Any </t>
    </r>
    <r>
      <rPr>
        <i/>
        <sz val="12"/>
        <color indexed="8"/>
        <rFont val="Calibri"/>
        <family val="2"/>
      </rPr>
      <t>constraint message:languagename</t>
    </r>
    <r>
      <rPr>
        <sz val="12"/>
        <color indexed="8"/>
        <rFont val="Calibri"/>
        <family val="2"/>
      </rPr>
      <t xml:space="preserve"> column (e.g., </t>
    </r>
    <r>
      <rPr>
        <i/>
        <sz val="12"/>
        <color indexed="8"/>
        <rFont val="Calibri"/>
        <family val="2"/>
      </rPr>
      <t>constraint message:tamil</t>
    </r>
    <r>
      <rPr>
        <sz val="12"/>
        <color indexed="8"/>
        <rFont val="Calibri"/>
        <family val="2"/>
      </rPr>
      <t>) may be added in order to provide constraint messages in an alternative language.</t>
    </r>
  </si>
  <si>
    <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indexed="8"/>
        <rFont val="Calibri"/>
        <family val="2"/>
      </rPr>
      <t xml:space="preserve">relevance builder </t>
    </r>
    <r>
      <rPr>
        <sz val="12"/>
        <color indexed="8"/>
        <rFont val="Calibri"/>
        <family val="2"/>
      </rPr>
      <t xml:space="preserve">to build new relevance expressions. (Also see the expression quick-reference following the examples below.) Example: </t>
    </r>
    <r>
      <rPr>
        <b/>
        <sz val="12"/>
        <color indexed="8"/>
        <rFont val="Calibri"/>
        <family val="2"/>
      </rPr>
      <t>${age} &lt; 18</t>
    </r>
  </si>
  <si>
    <r>
      <t xml:space="preserve">Enter </t>
    </r>
    <r>
      <rPr>
        <b/>
        <sz val="12"/>
        <color indexed="8"/>
        <rFont val="Calibri"/>
        <family val="2"/>
      </rPr>
      <t>yes</t>
    </r>
    <r>
      <rPr>
        <sz val="12"/>
        <color indexed="8"/>
        <rFont val="Calibri"/>
        <family val="2"/>
      </rPr>
      <t xml:space="preserve"> into this column to temporarily disable a field. (Rarely used.)</t>
    </r>
  </si>
  <si>
    <r>
      <t xml:space="preserve">Enter </t>
    </r>
    <r>
      <rPr>
        <b/>
        <sz val="12"/>
        <color indexed="8"/>
        <rFont val="Calibri"/>
        <family val="2"/>
      </rPr>
      <t>yes</t>
    </r>
    <r>
      <rPr>
        <sz val="12"/>
        <color indexed="8"/>
        <rFont val="Calibri"/>
        <family val="2"/>
      </rPr>
      <t xml:space="preserve"> into this column to require that users enter or select a value before continuing.</t>
    </r>
  </si>
  <si>
    <t>If the user tries to move forward without entering or selecting a value for a required field, a generic "Sorry, this response is required" message will appear; to override this message on a field-by-field basis, enter another message into this column.</t>
  </si>
  <si>
    <r>
      <t xml:space="preserve">Any </t>
    </r>
    <r>
      <rPr>
        <i/>
        <sz val="12"/>
        <color indexed="8"/>
        <rFont val="Calibri"/>
        <family val="2"/>
      </rPr>
      <t>required message:languagename</t>
    </r>
    <r>
      <rPr>
        <sz val="12"/>
        <color indexed="8"/>
        <rFont val="Calibri"/>
        <family val="2"/>
      </rPr>
      <t xml:space="preserve"> column (e.g., </t>
    </r>
    <r>
      <rPr>
        <i/>
        <sz val="12"/>
        <color indexed="8"/>
        <rFont val="Calibri"/>
        <family val="2"/>
      </rPr>
      <t>required message:tamil</t>
    </r>
    <r>
      <rPr>
        <sz val="12"/>
        <color indexed="8"/>
        <rFont val="Calibri"/>
        <family val="2"/>
      </rPr>
      <t>) may be added in order to provide required messages in an alternative language.</t>
    </r>
  </si>
  <si>
    <r>
      <t xml:space="preserve">Enter </t>
    </r>
    <r>
      <rPr>
        <b/>
        <sz val="12"/>
        <color indexed="8"/>
        <rFont val="Calibri"/>
        <family val="2"/>
      </rPr>
      <t>yes</t>
    </r>
    <r>
      <rPr>
        <sz val="12"/>
        <color indexed="8"/>
        <rFont val="Calibri"/>
        <family val="2"/>
      </rPr>
      <t xml:space="preserve"> into this column to make it read-only (a user can see the field, but cannot enter or select a value). (Rarely used, because </t>
    </r>
    <r>
      <rPr>
        <i/>
        <sz val="12"/>
        <color indexed="8"/>
        <rFont val="Calibri"/>
        <family val="2"/>
      </rPr>
      <t>note</t>
    </r>
    <r>
      <rPr>
        <sz val="12"/>
        <color indexed="8"/>
        <rFont val="Calibri"/>
        <family val="2"/>
      </rPr>
      <t xml:space="preserve"> fields, which are by nature read-only, are automatically read-only regardless of what is specified here.)</t>
    </r>
  </si>
  <si>
    <r>
      <t xml:space="preserve">This column specifies the expression to use for a </t>
    </r>
    <r>
      <rPr>
        <i/>
        <sz val="12"/>
        <color indexed="8"/>
        <rFont val="Calibri"/>
        <family val="2"/>
      </rPr>
      <t>calculate</t>
    </r>
    <r>
      <rPr>
        <sz val="12"/>
        <color indexed="8"/>
        <rFont val="Calibri"/>
        <family val="2"/>
      </rPr>
      <t xml:space="preserve"> field, or the expression to use for calculating the default entry or selection for a visible form field. Use the </t>
    </r>
    <r>
      <rPr>
        <i/>
        <sz val="12"/>
        <color indexed="8"/>
        <rFont val="Calibri"/>
        <family val="2"/>
      </rPr>
      <t xml:space="preserve">calculation builder </t>
    </r>
    <r>
      <rPr>
        <sz val="12"/>
        <color indexed="8"/>
        <rFont val="Calibri"/>
        <family val="2"/>
      </rPr>
      <t>to build new calculation expressions. (Also see the expression quick-reference following the examples below.)</t>
    </r>
  </si>
  <si>
    <r>
      <t xml:space="preserve">For a </t>
    </r>
    <r>
      <rPr>
        <i/>
        <sz val="12"/>
        <color indexed="8"/>
        <rFont val="Calibri"/>
        <family val="2"/>
      </rPr>
      <t>begin repeat</t>
    </r>
    <r>
      <rPr>
        <sz val="12"/>
        <color indexed="8"/>
        <rFont val="Calibri"/>
        <family val="2"/>
      </rPr>
      <t xml:space="preserve"> row, this column can specify the number of times to repeat the group of questions. (Can be a fixed count like </t>
    </r>
    <r>
      <rPr>
        <b/>
        <sz val="12"/>
        <color indexed="8"/>
        <rFont val="Calibri"/>
        <family val="2"/>
      </rPr>
      <t>3</t>
    </r>
    <r>
      <rPr>
        <sz val="12"/>
        <color indexed="8"/>
        <rFont val="Calibri"/>
        <family val="2"/>
      </rPr>
      <t xml:space="preserve"> or a reference to an earlier field like </t>
    </r>
    <r>
      <rPr>
        <b/>
        <sz val="12"/>
        <color indexed="8"/>
        <rFont val="Calibri"/>
        <family val="2"/>
      </rPr>
      <t>${numhh_members}</t>
    </r>
    <r>
      <rPr>
        <sz val="12"/>
        <color indexed="8"/>
        <rFont val="Calibri"/>
        <family val="2"/>
      </rPr>
      <t>.)</t>
    </r>
  </si>
  <si>
    <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paddy.png</t>
    </r>
  </si>
  <si>
    <r>
      <t xml:space="preserve">To include a sound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explanation.3gpp</t>
    </r>
  </si>
  <si>
    <r>
      <t xml:space="preserve">To include a video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demonstration.mp4</t>
    </r>
  </si>
  <si>
    <r>
      <t xml:space="preserve">Any </t>
    </r>
    <r>
      <rPr>
        <i/>
        <sz val="12"/>
        <color indexed="8"/>
        <rFont val="Calibri"/>
        <family val="2"/>
      </rPr>
      <t>media:image:languagename</t>
    </r>
    <r>
      <rPr>
        <sz val="12"/>
        <color indexed="8"/>
        <rFont val="Calibri"/>
        <family val="2"/>
      </rPr>
      <t xml:space="preserve"> column (e.g., </t>
    </r>
    <r>
      <rPr>
        <i/>
        <sz val="12"/>
        <color indexed="8"/>
        <rFont val="Calibri"/>
        <family val="2"/>
      </rPr>
      <t>media:image:tamil</t>
    </r>
    <r>
      <rPr>
        <sz val="12"/>
        <color indexed="8"/>
        <rFont val="Calibri"/>
        <family val="2"/>
      </rPr>
      <t>) may be added in order to provide images for an alternative language.</t>
    </r>
  </si>
  <si>
    <r>
      <t xml:space="preserve">Any </t>
    </r>
    <r>
      <rPr>
        <i/>
        <sz val="12"/>
        <color indexed="8"/>
        <rFont val="Calibri"/>
        <family val="2"/>
      </rPr>
      <t>media:audio:languagename</t>
    </r>
    <r>
      <rPr>
        <sz val="12"/>
        <color indexed="8"/>
        <rFont val="Calibri"/>
        <family val="2"/>
      </rPr>
      <t xml:space="preserve"> column (e.g., </t>
    </r>
    <r>
      <rPr>
        <i/>
        <sz val="12"/>
        <color indexed="8"/>
        <rFont val="Calibri"/>
        <family val="2"/>
      </rPr>
      <t>media:audio:tamil</t>
    </r>
    <r>
      <rPr>
        <sz val="12"/>
        <color indexed="8"/>
        <rFont val="Calibri"/>
        <family val="2"/>
      </rPr>
      <t>) may be added in order to provide audio clips for an alternative language.</t>
    </r>
  </si>
  <si>
    <r>
      <t xml:space="preserve">Any </t>
    </r>
    <r>
      <rPr>
        <i/>
        <sz val="12"/>
        <color indexed="8"/>
        <rFont val="Calibri"/>
        <family val="2"/>
      </rPr>
      <t>media:video:languagename</t>
    </r>
    <r>
      <rPr>
        <sz val="12"/>
        <color indexed="8"/>
        <rFont val="Calibri"/>
        <family val="2"/>
      </rPr>
      <t xml:space="preserve"> column (e.g., </t>
    </r>
    <r>
      <rPr>
        <i/>
        <sz val="12"/>
        <color indexed="8"/>
        <rFont val="Calibri"/>
        <family val="2"/>
      </rPr>
      <t>media:video:tamil</t>
    </r>
    <r>
      <rPr>
        <sz val="12"/>
        <color indexed="8"/>
        <rFont val="Calibri"/>
        <family val="2"/>
      </rPr>
      <t>) may be added in order to provide video clips for an alternative language.</t>
    </r>
  </si>
  <si>
    <r>
      <t xml:space="preserve">When filtering lists of multiple-choice options, this column specifies, for each field, which prior field should be used when filtering the list of options. For more details, see the following help topic: </t>
    </r>
    <r>
      <rPr>
        <i/>
        <sz val="12"/>
        <color indexed="8"/>
        <rFont val="Calibri"/>
        <family val="2"/>
      </rPr>
      <t>How can I filter the list of multiple-choice options presented to users?</t>
    </r>
    <r>
      <rPr>
        <sz val="12"/>
        <color indexed="8"/>
        <rFont val="Calibri"/>
        <family val="2"/>
      </rPr>
      <t xml:space="preserve"> </t>
    </r>
    <r>
      <rPr>
        <sz val="12"/>
        <color indexed="8"/>
        <rFont val="Calibri"/>
        <family val="2"/>
      </rPr>
      <t xml:space="preserve">Example: </t>
    </r>
    <r>
      <rPr>
        <b/>
        <sz val="12"/>
        <color indexed="8"/>
        <rFont val="Calibri"/>
        <family val="2"/>
      </rPr>
      <t>filter=${survey_region}</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</si>
  <si>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</si>
  <si>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t xml:space="preserve">This column can specify optional text or symbols to appear in the response area to the right of questions in printable versions of the survey form. For a text field, for example, you might put something like </t>
    </r>
    <r>
      <rPr>
        <b/>
        <sz val="12"/>
        <color indexed="8"/>
        <rFont val="Calibri"/>
        <family val="2"/>
      </rPr>
      <t>|___|___|</t>
    </r>
    <r>
      <rPr>
        <sz val="12"/>
        <color indexed="8"/>
        <rFont val="Calibri"/>
        <family val="2"/>
      </rPr>
      <t xml:space="preserve"> if you are looking for two letters or numbers; or, for a checkbox, you might put a hollow square like </t>
    </r>
    <r>
      <rPr>
        <b/>
        <sz val="12"/>
        <color indexed="8"/>
        <rFont val="Calibri"/>
        <family val="2"/>
      </rPr>
      <t>□</t>
    </r>
    <r>
      <rPr>
        <sz val="12"/>
        <color indexed="8"/>
        <rFont val="Calibri"/>
        <family val="2"/>
      </rPr>
      <t xml:space="preserve"> (this is a special HTML character: enter "</t>
    </r>
    <r>
      <rPr>
        <b/>
        <sz val="12"/>
        <color indexed="8"/>
        <rFont val="Calibri"/>
        <family val="2"/>
      </rPr>
      <t>&amp;#9633;</t>
    </r>
    <r>
      <rPr>
        <sz val="12"/>
        <color indexed="8"/>
        <rFont val="Calibri"/>
        <family val="2"/>
      </rPr>
      <t xml:space="preserve">", without quotes, into this column); finally, for a radio button, you might simply enter a capital </t>
    </r>
    <r>
      <rPr>
        <b/>
        <sz val="12"/>
        <color indexed="8"/>
        <rFont val="Calibri"/>
        <family val="2"/>
      </rPr>
      <t>O</t>
    </r>
    <r>
      <rPr>
        <sz val="12"/>
        <color indexed="8"/>
        <rFont val="Calibri"/>
        <family val="2"/>
      </rPr>
      <t>.</t>
    </r>
  </si>
  <si>
    <r>
      <t>Examples</t>
    </r>
    <r>
      <rPr>
        <sz val="12"/>
        <color indexed="8"/>
        <rFont val="Calibri"/>
        <family val="2"/>
      </rPr>
      <t xml:space="preserve"> (scroll right for appearance styles)</t>
    </r>
  </si>
  <si>
    <t>fieldname</t>
  </si>
  <si>
    <t>Standard text field:</t>
  </si>
  <si>
    <t>Text field which uses the numeric keypad:</t>
  </si>
  <si>
    <t>numbers</t>
  </si>
  <si>
    <t>Standard integer field:</t>
  </si>
  <si>
    <t>decimal</t>
  </si>
  <si>
    <t>Standard decimal field:</t>
  </si>
  <si>
    <t>select_one listname</t>
  </si>
  <si>
    <t>Standard multiple-choice field (allows one selection, shown as series of radio buttons):</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</si>
  <si>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</si>
  <si>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</si>
  <si>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</si>
  <si>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</si>
  <si>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</si>
  <si>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</si>
  <si>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</si>
  <si>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</si>
  <si>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</si>
  <si>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</si>
  <si>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</si>
  <si>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</si>
  <si>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</si>
  <si>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</si>
  <si>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</si>
  <si>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</si>
  <si>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</si>
  <si>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</si>
  <si>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</si>
  <si>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</si>
  <si>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</si>
  <si>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</si>
  <si>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</si>
  <si>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</si>
  <si>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</si>
  <si>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</si>
  <si>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</si>
  <si>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</si>
  <si>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</si>
  <si>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</si>
  <si>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</si>
  <si>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</si>
  <si>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geopoint</t>
  </si>
  <si>
    <t>Standard GPS location-capture field:</t>
  </si>
  <si>
    <t>barcode</t>
  </si>
  <si>
    <t>Standard scan-barcode field:</t>
  </si>
  <si>
    <t>date</t>
  </si>
  <si>
    <t>Standard date field:</t>
  </si>
  <si>
    <t>Date field (but for smaller screens):</t>
  </si>
  <si>
    <t>no-calendar</t>
  </si>
  <si>
    <t>datetime</t>
  </si>
  <si>
    <t>Standard date+time field:</t>
  </si>
  <si>
    <t>Date+time field (but for smaller screens):</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</si>
  <si>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</si>
  <si>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</si>
  <si>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</si>
  <si>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</si>
  <si>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</si>
  <si>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</si>
  <si>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</si>
  <si>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</si>
  <si>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</si>
  <si>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</si>
  <si>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</si>
  <si>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Standard note field (read-only).</t>
  </si>
  <si>
    <t>comments</t>
  </si>
  <si>
    <t>(${age1}+${age2}+${age3}) div 3</t>
  </si>
  <si>
    <t>calculate_here</t>
  </si>
  <si>
    <t>once(format-date-time(now(), '%Y-%b-%e %H:%M:%S'))</t>
  </si>
  <si>
    <t>text audit</t>
  </si>
  <si>
    <t>p=50</t>
  </si>
  <si>
    <t>audio audit</t>
  </si>
  <si>
    <t>p=50;s=0;d=60</t>
  </si>
  <si>
    <t>p=50;s=0-600;d=60</t>
  </si>
  <si>
    <t>p=50;s=firstfield;d=lastfield</t>
  </si>
  <si>
    <t>groupname</t>
  </si>
  <si>
    <t>Standard group</t>
  </si>
  <si>
    <t>…</t>
  </si>
  <si>
    <t>repeatname</t>
  </si>
  <si>
    <t>Standard repeated group</t>
  </si>
  <si>
    <t>Group repeated exactly three times</t>
  </si>
  <si>
    <t>Quick reference for relevance, constraint, and calculation expressions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</si>
  <si>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</si>
  <si>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</si>
  <si>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</si>
  <si>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</si>
  <si>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</si>
  <si>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</si>
  <si>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</si>
  <si>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</si>
  <si>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</si>
  <si>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</si>
  <si>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</si>
  <si>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</si>
  <si>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</si>
  <si>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</si>
  <si>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</si>
  <si>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</si>
  <si>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</si>
  <si>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</si>
  <si>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</si>
  <si>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</si>
  <si>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</si>
  <si>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</si>
  <si>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</si>
  <si>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</si>
  <si>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</si>
  <si>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</si>
  <si>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</si>
  <si>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</si>
  <si>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</si>
  <si>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</si>
  <si>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</si>
  <si>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</si>
  <si>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</si>
  <si>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</si>
  <si>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</si>
  <si>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</si>
  <si>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</si>
  <si>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</si>
  <si>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</si>
  <si>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</si>
  <si>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</si>
  <si>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</si>
  <si>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</si>
  <si>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</si>
  <si>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</si>
  <si>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</si>
  <si>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</si>
  <si>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</si>
  <si>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</si>
  <si>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</si>
  <si>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</si>
  <si>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</si>
  <si>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</si>
  <si>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</si>
  <si>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</si>
  <si>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</si>
  <si>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</si>
  <si>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</si>
  <si>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</si>
  <si>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</si>
  <si>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jr:choice-name(value, 'field')</t>
  </si>
  <si>
    <t>jr:choice-name(selected-at(${selectmultfield}, 0), '${selectmultfield}')</t>
  </si>
  <si>
    <t>concat(fieldorstring, fieldorstring, ...)</t>
  </si>
  <si>
    <t>concat(${firstname}, ' ', ${lastname})</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</si>
  <si>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</si>
  <si>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</si>
  <si>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</si>
  <si>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</si>
  <si>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</si>
  <si>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</si>
  <si>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</si>
  <si>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</si>
  <si>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</si>
  <si>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</si>
  <si>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</si>
  <si>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</si>
  <si>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</si>
  <si>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</si>
  <si>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</si>
  <si>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</si>
  <si>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</si>
  <si>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</si>
  <si>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</si>
  <si>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</si>
  <si>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</si>
  <si>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</si>
  <si>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number(field)</t>
  </si>
  <si>
    <t>number('34.8') = 34.8</t>
  </si>
  <si>
    <t>int(field)</t>
  </si>
  <si>
    <t>int('39') = 39</t>
  </si>
  <si>
    <t>string(field)</t>
  </si>
  <si>
    <t>string(34.8) = '34.8'</t>
  </si>
  <si>
    <t>date(string)</t>
  </si>
  <si>
    <t>${fieldname} &gt; date('2013-01-31')</t>
  </si>
  <si>
    <t>date-time(string)</t>
  </si>
  <si>
    <t>${fieldname} &gt; date('2013-01-31 16:42:00')</t>
  </si>
  <si>
    <t>format-date-time(field, format)</t>
  </si>
  <si>
    <t>format-date-time(${fieldname}, '%Y-%b-%e %H:%M:%S')</t>
  </si>
  <si>
    <t>today()</t>
  </si>
  <si>
    <t>format-date-time(today(), '%Y-%b-%e')</t>
  </si>
  <si>
    <t>now()</t>
  </si>
  <si>
    <t>uuid()</t>
  </si>
  <si>
    <t>version()</t>
  </si>
  <si>
    <t>username()</t>
  </si>
  <si>
    <t>The choices worksheet</t>
  </si>
  <si>
    <r>
      <t xml:space="preserve">This worksheet is for the configuration of option lists for your multiple-choice questions. For regular option lists, all possible options will be listed here, one option per row. For option lists that will be dynamically loaded from a pre-loaded .csv file, there will be a single row that indicates from which .csv columns to load the option values, labels, and images (see the following help topic: </t>
    </r>
    <r>
      <rPr>
        <i/>
        <sz val="12"/>
        <color indexed="8"/>
        <rFont val="Calibri"/>
        <family val="2"/>
      </rPr>
      <t>How do I dynamically load multiple-choice options from pre-loaded data?</t>
    </r>
    <r>
      <rPr>
        <sz val="12"/>
        <color indexed="8"/>
        <rFont val="Calibri"/>
        <family val="2"/>
      </rPr>
      <t>).</t>
    </r>
  </si>
  <si>
    <t>image:languagename</t>
  </si>
  <si>
    <t>filter</t>
  </si>
  <si>
    <r>
      <t xml:space="preserve">This column specifies the name of a multiple-choice question type (without any spaces or punctuation). A given list of options will involve multiple rows, each with the same </t>
    </r>
    <r>
      <rPr>
        <i/>
        <sz val="12"/>
        <color indexed="8"/>
        <rFont val="Calibri"/>
        <family val="2"/>
      </rPr>
      <t>list_name</t>
    </r>
    <r>
      <rPr>
        <sz val="12"/>
        <color indexed="8"/>
        <rFont val="Calibri"/>
        <family val="2"/>
      </rPr>
      <t xml:space="preserve">. Example: </t>
    </r>
    <r>
      <rPr>
        <b/>
        <sz val="12"/>
        <color indexed="8"/>
        <rFont val="Calibri"/>
        <family val="2"/>
      </rPr>
      <t>yesno</t>
    </r>
  </si>
  <si>
    <r>
      <t xml:space="preserve">This column specifies the internal value stored for a given choice. (It should really be called "value" rather than "name".) Example: </t>
    </r>
    <r>
      <rPr>
        <b/>
        <sz val="12"/>
        <color indexed="8"/>
        <rFont val="Calibri"/>
        <family val="2"/>
      </rPr>
      <t xml:space="preserve">1
</t>
    </r>
    <r>
      <rPr>
        <sz val="12"/>
        <color indexed="8"/>
        <rFont val="Calibri"/>
        <family val="2"/>
      </rPr>
      <t>If dynamically loading from a pre-loaded .csv file, this should instead be the .csv column name from which to load option values.</t>
    </r>
  </si>
  <si>
    <r>
      <t xml:space="preserve">This column specifies the label to use for a given choice, in the form's default language. Example: </t>
    </r>
    <r>
      <rPr>
        <b/>
        <sz val="12"/>
        <color indexed="8"/>
        <rFont val="Calibri"/>
        <family val="2"/>
      </rPr>
      <t xml:space="preserve">Yes
</t>
    </r>
    <r>
      <rPr>
        <sz val="12"/>
        <color indexed="8"/>
        <rFont val="Calibri"/>
        <family val="2"/>
      </rPr>
      <t>If dynamically loading from a pre-loaded .csv file, this should instead be the .csv column name -- or comma-separated list of column names -- from which to load option labels for the default language.</t>
    </r>
  </si>
  <si>
    <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 xml:space="preserve">paddy.png
</t>
    </r>
    <r>
      <rPr>
        <sz val="12"/>
        <color indexed="8"/>
        <rFont val="Calibri"/>
        <family val="2"/>
      </rPr>
      <t>If dynamically loading from a pre-loaded .csv file, this should instead be the .csv column name from which to load image filenames.</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</si>
  <si>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images in an alternative language.</t>
    </r>
  </si>
  <si>
    <r>
      <t xml:space="preserve">To filter the list of options displayed, a filter value can be specified here, along with a filter expression in the </t>
    </r>
    <r>
      <rPr>
        <i/>
        <sz val="12"/>
        <color indexed="8"/>
        <rFont val="Calibri"/>
        <family val="2"/>
      </rPr>
      <t>choice_filter</t>
    </r>
    <r>
      <rPr>
        <sz val="12"/>
        <color indexed="8"/>
        <rFont val="Calibri"/>
        <family val="2"/>
      </rPr>
      <t xml:space="preserve"> column of the </t>
    </r>
    <r>
      <rPr>
        <i/>
        <sz val="12"/>
        <color indexed="8"/>
        <rFont val="Calibri"/>
        <family val="2"/>
      </rPr>
      <t>survey</t>
    </r>
    <r>
      <rPr>
        <sz val="12"/>
        <color indexed="8"/>
        <rFont val="Calibri"/>
        <family val="2"/>
      </rPr>
      <t xml:space="preserve"> worksheet. For example, you might have </t>
    </r>
    <r>
      <rPr>
        <i/>
        <sz val="12"/>
        <color indexed="8"/>
        <rFont val="Calibri"/>
        <family val="2"/>
      </rPr>
      <t>filter</t>
    </r>
    <r>
      <rPr>
        <sz val="12"/>
        <color indexed="8"/>
        <rFont val="Calibri"/>
        <family val="2"/>
      </rPr>
      <t xml:space="preserve"> values like </t>
    </r>
    <r>
      <rPr>
        <b/>
        <sz val="12"/>
        <color indexed="8"/>
        <rFont val="Calibri"/>
        <family val="2"/>
      </rPr>
      <t>LAC</t>
    </r>
    <r>
      <rPr>
        <sz val="12"/>
        <color indexed="8"/>
        <rFont val="Calibri"/>
        <family val="2"/>
      </rPr>
      <t xml:space="preserve"> and a </t>
    </r>
    <r>
      <rPr>
        <i/>
        <sz val="12"/>
        <color indexed="8"/>
        <rFont val="Calibri"/>
        <family val="2"/>
      </rPr>
      <t>choice_filter</t>
    </r>
    <r>
      <rPr>
        <sz val="12"/>
        <color indexed="8"/>
        <rFont val="Calibri"/>
        <family val="2"/>
      </rPr>
      <t xml:space="preserve"> like </t>
    </r>
    <r>
      <rPr>
        <b/>
        <sz val="12"/>
        <color indexed="8"/>
        <rFont val="Calibri"/>
        <family val="2"/>
      </rPr>
      <t>filter=${survey_region}</t>
    </r>
    <r>
      <rPr>
        <sz val="12"/>
        <color indexed="8"/>
        <rFont val="Calibri"/>
        <family val="2"/>
      </rPr>
      <t xml:space="preserve">. For more details, see the following help topic: </t>
    </r>
    <r>
      <rPr>
        <i/>
        <sz val="12"/>
        <color indexed="8"/>
        <rFont val="Calibri"/>
        <family val="2"/>
      </rPr>
      <t>How can I filter the list of multiple-choice options presented to users?</t>
    </r>
  </si>
  <si>
    <t>The settings worksheet</t>
  </si>
  <si>
    <t>This worksheet contains overall settings for your form, all specified in the second row of the worksheet. When you download a form template from your SurveyCTO server, these settings will be pre-filled for you.</t>
  </si>
  <si>
    <r>
      <t xml:space="preserve">This is the title of your form. If you begin this title with </t>
    </r>
    <r>
      <rPr>
        <b/>
        <sz val="12"/>
        <color indexed="8"/>
        <rFont val="Calibri"/>
        <family val="2"/>
      </rPr>
      <t xml:space="preserve">TEST - </t>
    </r>
    <r>
      <rPr>
        <sz val="12"/>
        <color indexed="8"/>
        <rFont val="Calibri"/>
        <family val="2"/>
      </rPr>
      <t xml:space="preserve">(as in "TEST - Household listing survey"), it will not appear by default to users (see the following help topic: </t>
    </r>
    <r>
      <rPr>
        <i/>
        <sz val="12"/>
        <color indexed="8"/>
        <rFont val="Calibri"/>
        <family val="2"/>
      </rPr>
      <t>How can I prevent forms from appearing until after I am finished testing them?</t>
    </r>
    <r>
      <rPr>
        <sz val="12"/>
        <color indexed="8"/>
        <rFont val="Calibri"/>
        <family val="2"/>
      </rPr>
      <t>).</t>
    </r>
  </si>
  <si>
    <r>
      <t xml:space="preserve">This is the unique ID that will identify the form. While the form title can have spaces and can be changed from time to time, the form ID must not contain spaces and must remain fixed for the life of the form. The form ID must also begin with a letter, and it can only include letters, numbers, underscores, and hyphens (no other punctuation or special characters). Example: </t>
    </r>
    <r>
      <rPr>
        <b/>
        <sz val="12"/>
        <color indexed="8"/>
        <rFont val="Calibri"/>
        <family val="2"/>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</si>
  <si>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t>
  </si>
  <si>
    <r>
      <t xml:space="preserve">This is the public key with which to encrypt all form submissions. See the following help topic for details: </t>
    </r>
    <r>
      <rPr>
        <i/>
        <sz val="12"/>
        <color indexed="8"/>
        <rFont val="Calibri"/>
        <family val="2"/>
      </rPr>
      <t>How do I encrypt my data?</t>
    </r>
  </si>
  <si>
    <r>
      <t xml:space="preserve">This is the submission URL to use when submitting encrypted forms. See the following help topic for details: </t>
    </r>
    <r>
      <rPr>
        <i/>
        <sz val="12"/>
        <color indexed="8"/>
        <rFont val="Calibri"/>
        <family val="2"/>
      </rPr>
      <t>How do I encrypt my data?</t>
    </r>
  </si>
  <si>
    <r>
      <t xml:space="preserve">This is the name of the language associated with labels, images, and other content when no other language is specified. For example, the </t>
    </r>
    <r>
      <rPr>
        <i/>
        <sz val="12"/>
        <color indexed="8"/>
        <rFont val="Calibri"/>
        <family val="2"/>
      </rPr>
      <t xml:space="preserve">label:french </t>
    </r>
    <r>
      <rPr>
        <sz val="12"/>
        <color indexed="8"/>
        <rFont val="Calibri"/>
        <family val="2"/>
      </rPr>
      <t xml:space="preserve">column is clearly in French, but the </t>
    </r>
    <r>
      <rPr>
        <i/>
        <sz val="12"/>
        <color indexed="8"/>
        <rFont val="Calibri"/>
        <family val="2"/>
      </rPr>
      <t>label</t>
    </r>
    <r>
      <rPr>
        <sz val="12"/>
        <color indexed="8"/>
        <rFont val="Calibri"/>
        <family val="2"/>
      </rPr>
      <t xml:space="preserve"> column, which will display by default, is in an unknown language. Put the name of that default language here. See the following help topic for details: </t>
    </r>
    <r>
      <rPr>
        <i/>
        <sz val="12"/>
        <color indexed="8"/>
        <rFont val="Calibri"/>
        <family val="2"/>
      </rPr>
      <t>How do I translate my form into multiple languages?</t>
    </r>
  </si>
  <si>
    <t>lbl_intro</t>
  </si>
  <si>
    <t>select_one sino</t>
  </si>
  <si>
    <t>encuesta</t>
  </si>
  <si>
    <t>sino</t>
  </si>
  <si>
    <t>Sí</t>
  </si>
  <si>
    <t>informante_id</t>
  </si>
  <si>
    <t>select_one consent</t>
  </si>
  <si>
    <t>Acepto</t>
  </si>
  <si>
    <t>No acepto</t>
  </si>
  <si>
    <t>consentimiento</t>
  </si>
  <si>
    <t>autorizo</t>
  </si>
  <si>
    <t>Sí, autorizo</t>
  </si>
  <si>
    <t>No autorizo</t>
  </si>
  <si>
    <t>recibe_asistencia</t>
  </si>
  <si>
    <t>Escribir nombre exacto: PMA, Alcaldía, etc.)</t>
  </si>
  <si>
    <t>meses_asistencia</t>
  </si>
  <si>
    <t>${consentimiento} = 1</t>
  </si>
  <si>
    <t>${recibe_asistencia} = 1</t>
  </si>
  <si>
    <t>inicio_encuesta</t>
  </si>
  <si>
    <t>device_info</t>
  </si>
  <si>
    <t/>
  </si>
  <si>
    <t>device-info()</t>
  </si>
  <si>
    <t>duration</t>
  </si>
  <si>
    <t>duration()</t>
  </si>
  <si>
    <t>ID</t>
  </si>
  <si>
    <t>pull_name</t>
  </si>
  <si>
    <t>acepta_llamada</t>
  </si>
  <si>
    <t>¿La persona le contestó la llamada y puede empezar la encuesta en este momento?</t>
  </si>
  <si>
    <t>select_one llamada</t>
  </si>
  <si>
    <t>no_acepta</t>
  </si>
  <si>
    <t>llamada</t>
  </si>
  <si>
    <t>No contesta</t>
  </si>
  <si>
    <t>Número equivocado</t>
  </si>
  <si>
    <t>Pidió reagendamiento</t>
  </si>
  <si>
    <t>No desea participar</t>
  </si>
  <si>
    <t>Número fuera de servicio</t>
  </si>
  <si>
    <t>intro</t>
  </si>
  <si>
    <t>field-list</t>
  </si>
  <si>
    <t>${acepta_llamada} = 1</t>
  </si>
  <si>
    <t>¿Está el/la jefe de hogar disponible para responder la encuesta?</t>
  </si>
  <si>
    <t>informante_id_2</t>
  </si>
  <si>
    <t>${informante_id} = 0</t>
  </si>
  <si>
    <t>${acepta_llamada} = 1 and (${informante_id} = 1 or ${informante_id_2} = 1)</t>
  </si>
  <si>
    <t xml:space="preserve">¿Qué ocurrió con la llamada? </t>
  </si>
  <si>
    <t>${acepta_llamada} = 1 and (${informante_id} = 1 or ${informante_id_2} = 1) and ${consentimiento} = 1</t>
  </si>
  <si>
    <t>username</t>
  </si>
  <si>
    <t>datos_hogar</t>
  </si>
  <si>
    <t>departamento</t>
  </si>
  <si>
    <t>pull_dpto</t>
  </si>
  <si>
    <t>pull_mpio</t>
  </si>
  <si>
    <t>municipio</t>
  </si>
  <si>
    <t>select_one departamento</t>
  </si>
  <si>
    <t>departamento_corr</t>
  </si>
  <si>
    <t>minimal search('divipola_csv')</t>
  </si>
  <si>
    <t>Dpto</t>
  </si>
  <si>
    <t>select_one municipio</t>
  </si>
  <si>
    <t>municipio_corr</t>
  </si>
  <si>
    <t>¿En qué municipio vive actualmente?</t>
  </si>
  <si>
    <t>trayectoria_migratoria</t>
  </si>
  <si>
    <t>Responda con un número entero</t>
  </si>
  <si>
    <t>select_one zona</t>
  </si>
  <si>
    <t>Mpio</t>
  </si>
  <si>
    <t>zona</t>
  </si>
  <si>
    <t>telefono_contacto</t>
  </si>
  <si>
    <t>telefono_contacto_si</t>
  </si>
  <si>
    <t>Por favor indíqueme el número de contacto alternativo</t>
  </si>
  <si>
    <t>correo_electronico</t>
  </si>
  <si>
    <t>correo_electronico_si</t>
  </si>
  <si>
    <t>Por favor indíqueme el correo eléctronico</t>
  </si>
  <si>
    <t>regex(., "^[A-Za-z0-9._%+-]+@[A-Za-z0-9.-]+\.[A-Za-z]{2,}$")</t>
  </si>
  <si>
    <t>El correo ingresado no es correcto. Verifique que no tenga espacios y que incluya un punto (.) y un símbolo @</t>
  </si>
  <si>
    <t>condiciones_migratorias</t>
  </si>
  <si>
    <t>select_one quedarse</t>
  </si>
  <si>
    <t>intencion_quedarse</t>
  </si>
  <si>
    <t>quedarse</t>
  </si>
  <si>
    <t>Planea seguir viviendo en Colombia</t>
  </si>
  <si>
    <t>Planear regresar a su país de origen</t>
  </si>
  <si>
    <t>Planea mudarse fuera de Colombia (a otro lugar que no sea su país de origen)</t>
  </si>
  <si>
    <t>select_one estatus</t>
  </si>
  <si>
    <t>estatus_migratorio</t>
  </si>
  <si>
    <t>estatus</t>
  </si>
  <si>
    <t>Regular con PPT (Permiso por Protección Temporal)</t>
  </si>
  <si>
    <t>Regular con PPT en trámite / Constancia</t>
  </si>
  <si>
    <t>Regular con PEP (Permiso Especial de Permanencia)</t>
  </si>
  <si>
    <t>Regular con otro documento (Visa, Cédula de Extranjería, Salvoconducto)</t>
  </si>
  <si>
    <t>Irregular (Sin documentos vigentes)</t>
  </si>
  <si>
    <t>Solicitante de refugio / Protección Internacional</t>
  </si>
  <si>
    <t>sisben_encuesta</t>
  </si>
  <si>
    <t>select_one sisben</t>
  </si>
  <si>
    <t>sisben_grupo</t>
  </si>
  <si>
    <t>sisben</t>
  </si>
  <si>
    <t>A</t>
  </si>
  <si>
    <t>B</t>
  </si>
  <si>
    <t>C</t>
  </si>
  <si>
    <t>No sabe</t>
  </si>
  <si>
    <t>D</t>
  </si>
  <si>
    <t>${sisben_encuesta} = 1</t>
  </si>
  <si>
    <t>datos_personales</t>
  </si>
  <si>
    <t>nombre_apellido_jefe</t>
  </si>
  <si>
    <t>nombre_apellido_jefe_corr</t>
  </si>
  <si>
    <t>Indíqueme sus nombres y apellidos por favor</t>
  </si>
  <si>
    <t>string-length(.) &gt;= 2 and regex(., "^[A-Za-zñÑáéíóúÁÉÍÓÚ ]+$")</t>
  </si>
  <si>
    <t>Escriba un nombre válido</t>
  </si>
  <si>
    <t>${nombre_apellido_jefe} = 0</t>
  </si>
  <si>
    <t>tipo_documento</t>
  </si>
  <si>
    <t>tipo_doc</t>
  </si>
  <si>
    <t>Cédula de Extranjería (CE)</t>
  </si>
  <si>
    <t>Permiso por Protección Temporal (PPT)</t>
  </si>
  <si>
    <t>Permiso Especial de Permanencia (PEP)</t>
  </si>
  <si>
    <t>Salvoconducto (SC-2)</t>
  </si>
  <si>
    <t>Pasaporte</t>
  </si>
  <si>
    <t>Documento de Identidad (DNI) país de origen</t>
  </si>
  <si>
    <t>Constancia de trámite PPT (RUMV)</t>
  </si>
  <si>
    <t>Sin documento de identidad</t>
  </si>
  <si>
    <t>select_one tipo_doc</t>
  </si>
  <si>
    <t>Cédula de ciudadanía (CC)</t>
  </si>
  <si>
    <t>select_one sexo</t>
  </si>
  <si>
    <t>sexo</t>
  </si>
  <si>
    <t>Hombre</t>
  </si>
  <si>
    <t>Mujer</t>
  </si>
  <si>
    <t>select_one nacionalidad</t>
  </si>
  <si>
    <t>nacionalidad</t>
  </si>
  <si>
    <t>Colombiana</t>
  </si>
  <si>
    <t>Venezolana</t>
  </si>
  <si>
    <t>Otra</t>
  </si>
  <si>
    <t>nacionalidad_66</t>
  </si>
  <si>
    <t>¿Qué otra nacionalidad?</t>
  </si>
  <si>
    <t>${nacionalidad} = 66</t>
  </si>
  <si>
    <t>fecha_nacimiento</t>
  </si>
  <si>
    <t>. &lt;= date('2008-01-20')</t>
  </si>
  <si>
    <t>La fecha debe ser de un mayor de edad</t>
  </si>
  <si>
    <t>h_size</t>
  </si>
  <si>
    <t>salida</t>
  </si>
  <si>
    <t>Emigró a otro país</t>
  </si>
  <si>
    <t>Regresó a Venezuela</t>
  </si>
  <si>
    <t>Se independizó</t>
  </si>
  <si>
    <t>Otro</t>
  </si>
  <si>
    <t>Mercy_seguimiento</t>
  </si>
  <si>
    <t>Cuestionario Seguimiento</t>
  </si>
  <si>
    <t>spanish</t>
  </si>
  <si>
    <t>organizacion</t>
  </si>
  <si>
    <t>nuevos_miembros</t>
  </si>
  <si>
    <t>¿Hay otras personas adicionales que conformen su hogar?</t>
  </si>
  <si>
    <t>Es decir que duerman bajo el mismo techo y compartan gastos de alimentación</t>
  </si>
  <si>
    <t>${nuevos_miembros} = 1</t>
  </si>
  <si>
    <t>¿Cuántas personas más conforman su hogar?</t>
  </si>
  <si>
    <t>El número debe ser mayor que 0 y menor que 10</t>
  </si>
  <si>
    <t>relacion</t>
  </si>
  <si>
    <t>Cabeza de hogar</t>
  </si>
  <si>
    <t>Padre/Madre</t>
  </si>
  <si>
    <t>Pareja</t>
  </si>
  <si>
    <t>Hijo(a)</t>
  </si>
  <si>
    <t>Hijastro(a)</t>
  </si>
  <si>
    <t>Nieto(a)</t>
  </si>
  <si>
    <t>Hermano(a)</t>
  </si>
  <si>
    <t>Abuelo(a)</t>
  </si>
  <si>
    <t>Cuñado(a)</t>
  </si>
  <si>
    <t>Suegro(a)</t>
  </si>
  <si>
    <t>Tio(a)</t>
  </si>
  <si>
    <t>Primo(a)</t>
  </si>
  <si>
    <t>Sobrino(a)</t>
  </si>
  <si>
    <t>Yerno</t>
  </si>
  <si>
    <t>Nuera</t>
  </si>
  <si>
    <t>Amigos</t>
  </si>
  <si>
    <t>Ninguno</t>
  </si>
  <si>
    <t>Básica Primaria</t>
  </si>
  <si>
    <t>Secundaria</t>
  </si>
  <si>
    <t>Técnico medio</t>
  </si>
  <si>
    <t>Tecnologo / TSU</t>
  </si>
  <si>
    <t>Universitario</t>
  </si>
  <si>
    <t>Especialización</t>
  </si>
  <si>
    <t>Maestría</t>
  </si>
  <si>
    <t>Doctorado</t>
  </si>
  <si>
    <t>Prefiero no responder</t>
  </si>
  <si>
    <t>educacion</t>
  </si>
  <si>
    <t>nuevos_miembros_lf</t>
  </si>
  <si>
    <t>necesidades_basicas</t>
  </si>
  <si>
    <t>select_one satis</t>
  </si>
  <si>
    <t>satisfaccion_nb</t>
  </si>
  <si>
    <t>satis</t>
  </si>
  <si>
    <t>Todas</t>
  </si>
  <si>
    <t>La mayoría</t>
  </si>
  <si>
    <t>Algunas</t>
  </si>
  <si>
    <t>Ninguna</t>
  </si>
  <si>
    <t>necesidades</t>
  </si>
  <si>
    <t>Alojamiento</t>
  </si>
  <si>
    <t>Comida</t>
  </si>
  <si>
    <t>Empleo</t>
  </si>
  <si>
    <t>Salud</t>
  </si>
  <si>
    <t>Educación</t>
  </si>
  <si>
    <t>Agua</t>
  </si>
  <si>
    <t>estrategias</t>
  </si>
  <si>
    <t>lcsi</t>
  </si>
  <si>
    <t xml:space="preserve"> ¿En el último mes (30 días), alguien en su hogar se vio en la necesidad de hacer alguna de las siguientes actividades debido a que no había suficientes alimentos o dinero para comprar comida?</t>
  </si>
  <si>
    <t>select_one lcsi</t>
  </si>
  <si>
    <t xml:space="preserve"> No en los últimos 30 días. Sin embargo acudimos a esta estrategia en meses pasados (durante el último año)</t>
  </si>
  <si>
    <t>lcsi_01</t>
  </si>
  <si>
    <t>lcsi_02</t>
  </si>
  <si>
    <t>lcsi_03</t>
  </si>
  <si>
    <t>lcsi_04</t>
  </si>
  <si>
    <t>lcsi_05</t>
  </si>
  <si>
    <t>lcsi_06</t>
  </si>
  <si>
    <t>lcsi_07</t>
  </si>
  <si>
    <t>lcsi_08</t>
  </si>
  <si>
    <t>lcsi_09</t>
  </si>
  <si>
    <t>lcsi_10</t>
  </si>
  <si>
    <t>lcsi_11</t>
  </si>
  <si>
    <t>lcsi_12</t>
  </si>
  <si>
    <t>lcsi_13</t>
  </si>
  <si>
    <t>lcsi_14</t>
  </si>
  <si>
    <t>lcsi_15</t>
  </si>
  <si>
    <t>Depender de la ayuda de familiares y/o amigos/vecinos o pedir dinero prestado</t>
  </si>
  <si>
    <t>Comprar alimentos a crédito</t>
  </si>
  <si>
    <t>Gastar los ahorros</t>
  </si>
  <si>
    <t>Reducir gastos en salud (medicinas), educación o vestuario</t>
  </si>
  <si>
    <t>Sacar a los niños/as de la escuela para que aporten a la economía del hogar</t>
  </si>
  <si>
    <t>Vender la casa o la tierra</t>
  </si>
  <si>
    <t>Vender bienes personales (cabello, joyas, ropa, zapatos, etc)</t>
  </si>
  <si>
    <t>Vender activos del hogar (radio, muebles, TV, bicicletas)</t>
  </si>
  <si>
    <t>Pedir ayuda o donación en la calle para comprar comida</t>
  </si>
  <si>
    <t>Aceptar trabajo informal mal remunerado</t>
  </si>
  <si>
    <t>Trabajar a cambio de alimentos</t>
  </si>
  <si>
    <t>Realizar alguna actividad que nunca pensó hacer y prefiere no comentar</t>
  </si>
  <si>
    <t>Recolectar desperdicios o residuos de alimentos</t>
  </si>
  <si>
    <t>Migrar a otra parte del país o a otro país</t>
  </si>
  <si>
    <t>Aceptar empleos riesgosos o realizar trabajo forzado</t>
  </si>
  <si>
    <t>inseguridad</t>
  </si>
  <si>
    <t>discriminacion</t>
  </si>
  <si>
    <t>frecuencia</t>
  </si>
  <si>
    <t>Nunca</t>
  </si>
  <si>
    <t>Casi Nunca</t>
  </si>
  <si>
    <t>A veces</t>
  </si>
  <si>
    <t>Con frecuencia</t>
  </si>
  <si>
    <t>Siempre</t>
  </si>
  <si>
    <t>No sabe/No responde</t>
  </si>
  <si>
    <t>consumo_alimentos</t>
  </si>
  <si>
    <t>comedor_comunitario</t>
  </si>
  <si>
    <t>select_one comidas</t>
  </si>
  <si>
    <t>promedio_comidas</t>
  </si>
  <si>
    <t>comidas</t>
  </si>
  <si>
    <t>Menos de 2 comidas al día</t>
  </si>
  <si>
    <t>2 comidas al día</t>
  </si>
  <si>
    <t>3 comidas al día</t>
  </si>
  <si>
    <t>lugar_cocinar</t>
  </si>
  <si>
    <t>select_one decisiones</t>
  </si>
  <si>
    <t>toma_decisiones</t>
  </si>
  <si>
    <t>decisiones</t>
  </si>
  <si>
    <t xml:space="preserve">Decisión consensuada entre los adultos </t>
  </si>
  <si>
    <t>tomar_decisiones_66</t>
  </si>
  <si>
    <t>¿Qué otra persona?</t>
  </si>
  <si>
    <t>indice_consumo</t>
  </si>
  <si>
    <t>indice_note</t>
  </si>
  <si>
    <t>select_one siete</t>
  </si>
  <si>
    <t>siete</t>
  </si>
  <si>
    <t>fcs_cereales</t>
  </si>
  <si>
    <t>Cereales, raíces y tubérculos</t>
  </si>
  <si>
    <t>Ej: Arroz, Pan, Maíz, Papa, Yuca, Pastas, Arepas, Plátano.</t>
  </si>
  <si>
    <t>fcs_carnes</t>
  </si>
  <si>
    <t>Carne, huevos y pescado</t>
  </si>
  <si>
    <t>fcs_legumbres</t>
  </si>
  <si>
    <t>Legumbres y frutas secas</t>
  </si>
  <si>
    <t>Ej: Frijoles, caraotas, lentejas, garbanzos, arvejas, maní.</t>
  </si>
  <si>
    <t>fcs_lacteos</t>
  </si>
  <si>
    <t>Leche y productos lácteos</t>
  </si>
  <si>
    <t>fcs_vegetales</t>
  </si>
  <si>
    <t>Vegetales</t>
  </si>
  <si>
    <t>Ej: Zanahoria, Tomate, Lechuga, Habichuelas.</t>
  </si>
  <si>
    <t>fcs_frutas</t>
  </si>
  <si>
    <t>Frutas</t>
  </si>
  <si>
    <t>Ej: Manzana, Naranja, Banano, Guayaba, Mango, Piña.</t>
  </si>
  <si>
    <t>fcs_grasas</t>
  </si>
  <si>
    <t>Aceite / grasas</t>
  </si>
  <si>
    <t>Ej: Aceite, Margarina, Mantequilla, Mayonesa, Aguacate.</t>
  </si>
  <si>
    <t>fcs_azucar</t>
  </si>
  <si>
    <t>Azúcar / miel</t>
  </si>
  <si>
    <t>Ej: Gaseosa, azúcar, panela, miel, dulces, mermeladas.</t>
  </si>
  <si>
    <t>fcs_condimentos</t>
  </si>
  <si>
    <t>Condimentos</t>
  </si>
  <si>
    <t>Ej: Café/cacao, sal, pequeñas cantidades de leche, etc.</t>
  </si>
  <si>
    <t>Ej: Res, pollo, cerdo, pescado, huevos. (Aquí no se deben contar pequeñas cantidades de carnes o carnes en polvo, ya que se clasifican como un "condimento" y se capturarán más adelante).</t>
  </si>
  <si>
    <t>Ej: Leche, queso, yogurt, cuajada. (Excluir pequeñas cantidades de margarina/mantequilla y pequeñas cantidades de leche para el té/café).</t>
  </si>
  <si>
    <t>0 días</t>
  </si>
  <si>
    <t>1 día</t>
  </si>
  <si>
    <t>2 días</t>
  </si>
  <si>
    <t>3 días</t>
  </si>
  <si>
    <t>4 días</t>
  </si>
  <si>
    <t>5 días</t>
  </si>
  <si>
    <t>6 días</t>
  </si>
  <si>
    <t>7 días</t>
  </si>
  <si>
    <t>indice_afrontamiento</t>
  </si>
  <si>
    <t>intro_rcsi</t>
  </si>
  <si>
    <t>rcsi_baratos</t>
  </si>
  <si>
    <t>rcsi_pedir</t>
  </si>
  <si>
    <t>rcsi_porciones</t>
  </si>
  <si>
    <t>rcsi_adultos</t>
  </si>
  <si>
    <t>rcsi_comidas</t>
  </si>
  <si>
    <t>&lt;b&gt;Nota:&lt;/b&gt; &lt;i&gt;Leer lo siguiente:&lt;/i&gt;&lt;br&gt;&lt;br&gt;Ahora, me gustaría hacerle algunas preguntas sobre las estrategias que utiliza su hogar para hacer frente a la falta de alimentos. Voy a leer algunas estrategias y me gustaría saber cuántos días ha tenido su hogar para emplear la estrategia en los últimos 7 días debido a la falta de recursos para comprar alimentos. &lt;br&gt;&lt;br&gt;Por favor, dígame el número de días, ya sea &lt;b&gt;0 o hasta 7 días&lt;/b&gt;.</t>
  </si>
  <si>
    <t>frecuencia2</t>
  </si>
  <si>
    <t>Pocas (1-2 veces)</t>
  </si>
  <si>
    <t>Algunas (3-10 veces)</t>
  </si>
  <si>
    <t>Muchas (más de 10 veces)</t>
  </si>
  <si>
    <t>hhs_falta_comida</t>
  </si>
  <si>
    <t>select_one frecuencia2</t>
  </si>
  <si>
    <t>hhs_frec_1</t>
  </si>
  <si>
    <t>hhs_dormir_hambre</t>
  </si>
  <si>
    <t>hhs_frec_2</t>
  </si>
  <si>
    <t>hhs_sin_comer</t>
  </si>
  <si>
    <t>hhs_frec_3</t>
  </si>
  <si>
    <t>Jefe del hogar</t>
  </si>
  <si>
    <t>Pareja / cónyuge</t>
  </si>
  <si>
    <t>Otro miembro de la familia</t>
  </si>
  <si>
    <t>Otro no pariente</t>
  </si>
  <si>
    <t>Decisión consensuada entre los adultos del hogar</t>
  </si>
  <si>
    <t>Subsidiado (SISBEN)</t>
  </si>
  <si>
    <t>Contributivo</t>
  </si>
  <si>
    <t>No está afiliado a ningún régimen</t>
  </si>
  <si>
    <t>Estable y permanente</t>
  </si>
  <si>
    <t>Inestable y temporal</t>
  </si>
  <si>
    <t>Inexistente</t>
  </si>
  <si>
    <t>Reciclador(a)</t>
  </si>
  <si>
    <t>Venta ambulante en la calle</t>
  </si>
  <si>
    <t>Pensión/jubilación</t>
  </si>
  <si>
    <t>Remesas de emigrantes (dentro o fuera del país)</t>
  </si>
  <si>
    <t>Ayuda humanitaria</t>
  </si>
  <si>
    <t>Ayuda/apoyo de familiares/amigos(as)/vecinos(as)/etc.</t>
  </si>
  <si>
    <t>No tiene fuente de ingresos</t>
  </si>
  <si>
    <t>quien_decide</t>
  </si>
  <si>
    <t>regimen_salud</t>
  </si>
  <si>
    <t>desc_ingreso</t>
  </si>
  <si>
    <t>fuente_ingreso</t>
  </si>
  <si>
    <t>Empleo asalariado (incluye empleados del gobierno)</t>
  </si>
  <si>
    <t>Trabajo diario irregular, trabajador casual</t>
  </si>
  <si>
    <t>Trabajo independiente (taxi, carpintero, etc.)</t>
  </si>
  <si>
    <t>Venta de productos agrícolas o pecuarios</t>
  </si>
  <si>
    <t>Jornaleo en actividad agrícola</t>
  </si>
  <si>
    <t>Vender bienes personales (celular, joyas, ropa, etc.)</t>
  </si>
  <si>
    <t>salud_economia</t>
  </si>
  <si>
    <t>select_one quien_decide</t>
  </si>
  <si>
    <t>quien_decide_dinero</t>
  </si>
  <si>
    <t>select_one regimen_salud</t>
  </si>
  <si>
    <t>regimen_salud_jefe</t>
  </si>
  <si>
    <t>ingresos_semana</t>
  </si>
  <si>
    <t>select_one desc_ingreso</t>
  </si>
  <si>
    <t>ingresos_descripcion</t>
  </si>
  <si>
    <t>select_one fuente_ingreso</t>
  </si>
  <si>
    <t>fuente_ingreso_ppal</t>
  </si>
  <si>
    <t>Solo 1 opción.</t>
  </si>
  <si>
    <t>gasto_alimentos</t>
  </si>
  <si>
    <t>Registrar valor en COP.</t>
  </si>
  <si>
    <t>v_alimentos</t>
  </si>
  <si>
    <t>${gasto_alimentos} &gt; 500000</t>
  </si>
  <si>
    <t>gasto_agua</t>
  </si>
  <si>
    <t>v_agua</t>
  </si>
  <si>
    <t>${gasto_agua} &gt; 500000</t>
  </si>
  <si>
    <t>gasto_energia</t>
  </si>
  <si>
    <t>v_energia</t>
  </si>
  <si>
    <t>${gasto_energia} &gt; 500000</t>
  </si>
  <si>
    <t>gasto_gas_gasolina</t>
  </si>
  <si>
    <t>v_gas</t>
  </si>
  <si>
    <t>${gasto_gas_gasolina} &gt; 500000</t>
  </si>
  <si>
    <t>gasto_carbon_lena</t>
  </si>
  <si>
    <t>v_carbon</t>
  </si>
  <si>
    <t>${gasto_carbon_lena} &gt; 500000</t>
  </si>
  <si>
    <t>gasto_no_alim</t>
  </si>
  <si>
    <t>v_no_alim</t>
  </si>
  <si>
    <t>${gasto_no_alim} &gt; 500000</t>
  </si>
  <si>
    <t>gasto_educacion</t>
  </si>
  <si>
    <t>v_edu</t>
  </si>
  <si>
    <t>${gasto_educacion} &gt; 500000</t>
  </si>
  <si>
    <t>gasto_transporte</t>
  </si>
  <si>
    <t>v_trans</t>
  </si>
  <si>
    <t>${gasto_transporte} &gt; 500000</t>
  </si>
  <si>
    <t>gasto_arriendo</t>
  </si>
  <si>
    <t>v_arriendo</t>
  </si>
  <si>
    <t>${gasto_arriendo} &gt; 500000</t>
  </si>
  <si>
    <t>gasto_salud</t>
  </si>
  <si>
    <t>v_salud</t>
  </si>
  <si>
    <t>${gasto_salud} &gt; 500000</t>
  </si>
  <si>
    <t>gasto_prestamos</t>
  </si>
  <si>
    <t>v_prestamos</t>
  </si>
  <si>
    <t>${gasto_prestamos} &gt; 500000</t>
  </si>
  <si>
    <t>gasto_inversion</t>
  </si>
  <si>
    <t>v_inversion</t>
  </si>
  <si>
    <t>${gasto_inversion} &gt; 500000</t>
  </si>
  <si>
    <t>gasto_remesas_ven</t>
  </si>
  <si>
    <t>v_remesas</t>
  </si>
  <si>
    <t>${gasto_remesas_ven} &gt; 500000</t>
  </si>
  <si>
    <t>gasto_ahorros</t>
  </si>
  <si>
    <t>v_ahorros</t>
  </si>
  <si>
    <t>${gasto_ahorros} &gt; 500000</t>
  </si>
  <si>
    <t>gasto_otros</t>
  </si>
  <si>
    <t>v_otros</t>
  </si>
  <si>
    <t>${gasto_otros} &gt; 500000</t>
  </si>
  <si>
    <t>.&gt;=0</t>
  </si>
  <si>
    <t>decide_asistencia</t>
  </si>
  <si>
    <t>El cónyugue</t>
  </si>
  <si>
    <t>Ambos</t>
  </si>
  <si>
    <t>Otro miembro del hogar</t>
  </si>
  <si>
    <t>agradecimiento</t>
  </si>
  <si>
    <t>stamp_datos_hogar</t>
  </si>
  <si>
    <t>once(duration())</t>
  </si>
  <si>
    <t>stamp_datos_hogar2</t>
  </si>
  <si>
    <t>stamp_condiciones</t>
  </si>
  <si>
    <t>stamp_condiciones2</t>
  </si>
  <si>
    <t>time_datos_hogar_sec</t>
  </si>
  <si>
    <t>time_condiciones_sec</t>
  </si>
  <si>
    <t>${stamp_datos_hogar2} - ${stamp_datos_hogar}</t>
  </si>
  <si>
    <t>${stamp_condiciones2} - ${stamp_condiciones}</t>
  </si>
  <si>
    <t>stamp_datos</t>
  </si>
  <si>
    <t>stamp_datos2</t>
  </si>
  <si>
    <t>time_datos_sec</t>
  </si>
  <si>
    <t>${stamp_datos2} - ${stamp_datos}</t>
  </si>
  <si>
    <t>stamp_consumo</t>
  </si>
  <si>
    <t>stamp_consumo2</t>
  </si>
  <si>
    <t>time_consumo_sec</t>
  </si>
  <si>
    <t>${stamp_consumo2} - ${stamp_consumo}</t>
  </si>
  <si>
    <t>stamp_necesidades</t>
  </si>
  <si>
    <t>stamp_necesidades2</t>
  </si>
  <si>
    <t>time_necesidades_sec</t>
  </si>
  <si>
    <t>${stamp_necesidades2} - ${stamp_necesidades}</t>
  </si>
  <si>
    <t>stamp_salud</t>
  </si>
  <si>
    <t>stamp_salud2</t>
  </si>
  <si>
    <t>time_salud_sec</t>
  </si>
  <si>
    <t>${stamp_salud2} - ${stamp_salud}</t>
  </si>
  <si>
    <t>time_encuesta_sec</t>
  </si>
  <si>
    <t>${stamp_encuesta2} - ${stamp_encuesta}</t>
  </si>
  <si>
    <t>stamp_encuesta</t>
  </si>
  <si>
    <t>stamp_encuesta2</t>
  </si>
  <si>
    <t>${acepta_llamada} = 0 or ${informante_id_2} = 0</t>
  </si>
  <si>
    <t>${departamento} = 1</t>
  </si>
  <si>
    <t>${telefono_contacto} = 1</t>
  </si>
  <si>
    <t>${correo_electronico} = 1</t>
  </si>
  <si>
    <t>Doble (Colombiana y Venezolana)</t>
  </si>
  <si>
    <t>audit</t>
  </si>
  <si>
    <t>Muchas gracias por su tiempo.</t>
  </si>
  <si>
    <t>socio_pull</t>
  </si>
  <si>
    <t>fecha_pull</t>
  </si>
  <si>
    <t>lcsi_note2</t>
  </si>
  <si>
    <t>lcsi_note3</t>
  </si>
  <si>
    <t>Me dio otro número de contacto</t>
  </si>
  <si>
    <t>nuevo_numero</t>
  </si>
  <si>
    <t>Escriba el nuevo número de teléfono del/la jefe de hogar</t>
  </si>
  <si>
    <t>${no_acepta} = 6</t>
  </si>
  <si>
    <t>Ya no vive en Colombia</t>
  </si>
  <si>
    <t>Escriba el número con el código de país</t>
  </si>
  <si>
    <t>indice_note2</t>
  </si>
  <si>
    <t>Indíqueme cuántas veces &lt;b&gt; en los últimos 7 días&lt;b&gt; usted ha comido los siguientes grupos de alimentos</t>
  </si>
  <si>
    <t>4 o más comidas al día</t>
  </si>
  <si>
    <t>Ingresar valor en pesos (COP). Temporalidad: Últimos 7 días. &lt;span style="color:red"&gt;Si la persona no sabe escriba 99 o si no quiere responder escriba 88&lt;/span&gt;</t>
  </si>
  <si>
    <t>obs</t>
  </si>
  <si>
    <t>&lt;b&gt;Observaciones del encuestador&lt;/b&gt;</t>
  </si>
  <si>
    <t>Si no tiene observaciones, escriba NA</t>
  </si>
  <si>
    <t>. &gt;= 0 and . &lt; 10</t>
  </si>
  <si>
    <t>Ingrese el número de personas adicionales. Si no hay nadie más escriba 0</t>
  </si>
  <si>
    <t xml:space="preserve"> ¿Cuánto gastó el hogar en los últimos 30 días en Alimentos? &lt;br&gt;  &lt;span style="color:red"&gt;Si la persona no sabe escriba 99 o si no quiere responder escriba 88&lt;/span&gt;</t>
  </si>
  <si>
    <t xml:space="preserve"> ¿Cuánto gastó el hogar en los últimos 30 días en Agua? &lt;br&gt; &lt;span style="color:red"&gt;Si la persona no sabe escriba 99 o si no quiere responder escriba 88&lt;/span&gt;</t>
  </si>
  <si>
    <t xml:space="preserve"> ¿Cuánto gastó el hogar en los últimos 30 días en Energía eléctrica? &lt;br&gt; &lt;span style="color:red"&gt;Si la persona no sabe escriba 99 o si no quiere responder escriba 88&lt;/span&gt;</t>
  </si>
  <si>
    <t xml:space="preserve"> ¿Cuánto gastó el hogar en los últimos 30 días en Gas y Gasolina? &lt;br&gt; &lt;span style="color:red"&gt;Si la persona no sabe escriba 99 o si no quiere responder escriba 88&lt;/span&gt;</t>
  </si>
  <si>
    <t xml:space="preserve"> ¿Cuánto gastó el hogar en los últimos 30 días en Leña y Carbón? &lt;br&gt; &lt;span style="color:red"&gt;Si la persona no sabe escriba 99 o si no quiere responder escriba 88&lt;/span&gt;</t>
  </si>
  <si>
    <t xml:space="preserve"> ¿Cuánto gastó el hogar en los últimos 30 días en Artículos no alimentarios (Jabón, toallas higiénicas, etc.)? &lt;br&gt; &lt;span style="color:red"&gt;Si la persona no sabe escriba 99 o si no quiere responder escriba 88&lt;/span&gt;</t>
  </si>
  <si>
    <t xml:space="preserve"> ¿Cuánto gastó el hogar en los últimos 30 días en Educación? &lt;br&gt; &lt;span style="color:red"&gt;Si la persona no sabe escriba 99 o si no quiere responder escriba 88&lt;/span&gt;</t>
  </si>
  <si>
    <t xml:space="preserve"> ¿Cuánto gastó el hogar en los últimos 30 días en Transporte? &lt;br&gt; &lt;span style="color:red"&gt;Si la persona no sabe escriba 99 o si no quiere responder escriba 88&lt;/span&gt;</t>
  </si>
  <si>
    <t xml:space="preserve"> ¿Cuánto gastó el hogar en los últimos 30 días en Arriendo? &lt;br&gt; &lt;span style="color:red"&gt;Si la persona no sabe escriba 99 o si no quiere responder escriba 88&lt;/span&gt;</t>
  </si>
  <si>
    <t xml:space="preserve"> ¿Cuánto gastó el hogar en los últimos 30 días en Salud (servicio médico y/o medicinas)? &lt;br&gt; &lt;span style="color:red"&gt;Si la persona no sabe escriba 99 o si no quiere responder escriba 88&lt;/span&gt;</t>
  </si>
  <si>
    <t xml:space="preserve"> ¿Cuánto gastó el hogar en los últimos 30 días en Pago de préstamos? &lt;br&gt; &lt;span style="color:red"&gt;Si la persona no sabe escriba 99 o si no quiere responder escriba 88&lt;/span&gt;</t>
  </si>
  <si>
    <t xml:space="preserve"> ¿Cuánto gastó el hogar en los últimos 30 días en Inversión para generación de ingresos? &lt;br&gt; &lt;span style="color:red"&gt;Si la persona no sabe escriba 99 o si no quiere responder escriba 88&lt;/span&gt;</t>
  </si>
  <si>
    <t xml:space="preserve"> ¿Cuánto gastó el hogar en los últimos 30 días en Transferencias a Venezuela? &lt;br&gt; &lt;span style="color:red"&gt;Si la persona no sabe escriba 99 o si no quiere responder escriba 88&lt;/span&gt;</t>
  </si>
  <si>
    <t xml:space="preserve"> ¿Cuánto gastó el hogar en los últimos 30 días en Internet y telefonía? &lt;br&gt; &lt;span style="color:red"&gt;Si la persona no sabe escriba 99 o si no quiere responder escriba 88&lt;/span&gt;</t>
  </si>
  <si>
    <t xml:space="preserve"> ¿Cuánto gastó el hogar en los últimos 30 días en Otros? &lt;br&gt; &lt;span style="color:red"&gt;Si la persona no sabe escriba 99 o si no quiere responder escriba 88&lt;/span&gt;</t>
  </si>
  <si>
    <t>audio audit p=100;s=consentimiento;d=agradecimiento</t>
  </si>
  <si>
    <t>audit_2</t>
  </si>
  <si>
    <t>audio audit d=1800</t>
  </si>
  <si>
    <t>audit_3</t>
  </si>
  <si>
    <t>1. Teniendo en cuenta lo anterior, ¿acepta voluntariamente participar en esta encuesta?</t>
  </si>
  <si>
    <t>2. Para continuar, necesito confirmar: ¿Es usted mayor de edad, conoce cómo se manejan los gastos y la alimentación en su hogar, y está al tanto del apoyo que recibieron por parte del programa VenEsperanza?</t>
  </si>
  <si>
    <t>3. Después de haber recibido el apoyo de VenEsperanza, ¿su hogar ha recibido ayudas adicionales en dinero por parte de otra organización, ya sea para gastos del hogar o para fortalecer algún negocio o emprendimiento?"</t>
  </si>
  <si>
    <t>4. ¿Qué organización le dio esta ayuda?</t>
  </si>
  <si>
    <t>5. ¿Por cuántos meses recibió o recibirá esta ayuda?</t>
  </si>
  <si>
    <t>6. Tengo registrado que ustedes vivían en el departamento de ${pull_dpto}. ¿Siguen viviendo allí?</t>
  </si>
  <si>
    <t>7. ¿Siguen viviendo en el municipio de ${pull_mpio}?</t>
  </si>
  <si>
    <t>8. Después de haber recibido el apoyo de VenEsperanza, ¿cuántas veces se ha mudado a otro municipio dentro de Colombia?</t>
  </si>
  <si>
    <t>Centro Poblado (Corregimiento o Caserío)</t>
  </si>
  <si>
    <t>Cabecera Municipal (Casco urbano)</t>
  </si>
  <si>
    <t>Rural Disperso (Campo)</t>
  </si>
  <si>
    <t>9. ¿La zona donde vive actualmente es?</t>
  </si>
  <si>
    <t>10. Este número al que llamamos es su principal medio de contacto. ¿Tiene algún otro número alternativo o WhatsApp donde podamos ubicarlo en el futuro?</t>
  </si>
  <si>
    <t>11. ¿Tiene un correo electrónico activo donde podamos contactarlo?</t>
  </si>
  <si>
    <t>mejor_forma_contacto</t>
  </si>
  <si>
    <t>12. ¿Hay algún horario específico o instrucción especial para poder comunicarnos con usted en el futuro?</t>
  </si>
  <si>
    <t>(Ej: "Llamar después de las 6pm", "Llamar por WhatsApp porque no tengo señal").</t>
  </si>
  <si>
    <t>cuidado</t>
  </si>
  <si>
    <t>Personas con discapacidad permanente</t>
  </si>
  <si>
    <t>Menores de edad (Niños, niñas o adolescentes)</t>
  </si>
  <si>
    <t>Adultos mayores</t>
  </si>
  <si>
    <t>Ninguna de los anteriores</t>
  </si>
  <si>
    <t>14. Ahora, vamos a confirmar información sobre su hogar &lt;br&gt; Confirmo que el jefe del hogar sigue siendo el Sr./Sra. ${pull_name} ¿Es correcto?</t>
  </si>
  <si>
    <t>15. Tipo de documento de identidad</t>
  </si>
  <si>
    <t>17. Sexo</t>
  </si>
  <si>
    <t>18. Nacionalidad</t>
  </si>
  <si>
    <t>19. Fecha de nacimiento</t>
  </si>
  <si>
    <t>select_one condicion_migratoria</t>
  </si>
  <si>
    <t>condicion_migratoria</t>
  </si>
  <si>
    <t>Colombiano retornado</t>
  </si>
  <si>
    <t>Migrante Venezolano</t>
  </si>
  <si>
    <t>Pendular (desplazamientos diarios de migrantes del lugar de residencia a sitios de abastecimientos)</t>
  </si>
  <si>
    <t>Poblacion de acogida</t>
  </si>
  <si>
    <t>Migrante con doble nacionalidad venezolana-colombiana</t>
  </si>
  <si>
    <t>Desplazados internos</t>
  </si>
  <si>
    <t>29. ¿Cuál es la condición migratoria del jefe de hogar en el país?</t>
  </si>
  <si>
    <t>30. A continuación, le haré unas preguntas sobre su condición migratoria &lt;br&gt; En los siguientes 12 meses:</t>
  </si>
  <si>
    <t>${condicion_migratoria} = 2 or ${condicion_migratoria} = 3</t>
  </si>
  <si>
    <t>31. ¿Cuál es su estatus migratorio actual?</t>
  </si>
  <si>
    <t>${estatus_migratorio} &lt;= 4 or ( ${condicion_migratoria} != 2 and ${condicion_migratoria} !=  3)</t>
  </si>
  <si>
    <t>32. ¿Cuenta actualmente con encuesta del Sisbén?</t>
  </si>
  <si>
    <t>33. ¿Sabe en qué grupo quedó clasificado?</t>
  </si>
  <si>
    <t>34. ¿Algún miembro de su hogar está asistiendo a un comedor comunitario?</t>
  </si>
  <si>
    <t xml:space="preserve">Jefe del hogar </t>
  </si>
  <si>
    <t xml:space="preserve">Pareja/Cónyuge </t>
  </si>
  <si>
    <t>${toma_decisiones} = 3 or ${toma_decisiones} = 4</t>
  </si>
  <si>
    <t>35. En promedio durante la última semana; ¿Cuántas comidas se han consumido en su hogar por día?</t>
  </si>
  <si>
    <t>36. ¿Usted tiene un lugar donde cocinar los alimentos diarios?</t>
  </si>
  <si>
    <t>37. ¿Quién en su hogar toma las decisiones &lt;b&gt;relacionadas con la alimentación&lt;/b&gt;?</t>
  </si>
  <si>
    <t>38. Me gustaría preguntarle acerca de todos los diferentes alimentos que usted y los miembros de su hogar han comido en &lt;b&gt;los últimos 7 días&lt;/b&gt;&lt;br&gt;
¿Podría decirme cuántos días en la &lt;b&gt;última semana (7 días)&lt;/b&gt; su familia ha comido los siguientes alimentos?
&lt;span style="color:red"&gt;&lt;b&gt;NOTA:&lt;/b&gt;&lt;/span&gt; &lt;i&gt;TENGA EN CUENTA SOLO LA COMIDA PREPARADA EN CASA O QUE REQUIERE UNA INVERSIÓN (ECONÓMICA) POR PARTE DEL HOGAR, EJ: COMIDA EN RESTAURANTES&lt;/i&gt;</t>
  </si>
  <si>
    <t>39. ¿Cuántos días tuvo su hogar que depender de alimentos menos preferidos o más baratos de lo habitual?</t>
  </si>
  <si>
    <t>40. ¿Cuántos días su hogar tuvo que pedir comida prestada o depender de la ayuda de amigos y parientes?</t>
  </si>
  <si>
    <t>41. ¿Cuántos días su hogar tuvo que reducir el tamaño de las porciones de las comidas?</t>
  </si>
  <si>
    <t>42. ¿Cuántos días su hogar tuvo que reducir la cantidad de alimentos consumidos por los adultos para que los niños pequeños pudieran comer?</t>
  </si>
  <si>
    <t>43. ¿Cuántos días tuvo su hogar que reducir el número de comidas que comía al día?</t>
  </si>
  <si>
    <t>44. En los últimos 30 días, ¿hubo algún momento en que no había nada de comida en su casa?</t>
  </si>
  <si>
    <t>45. ¿Cuántas veces ocurrió esto en los últimos 30 días?</t>
  </si>
  <si>
    <t>46. ¿Usted o algún miembro se ha acostado a dormir con hambre porque no había suficiente comida?</t>
  </si>
  <si>
    <t>47. ¿Cuántas veces ocurrió esto en los últimos 30 días?</t>
  </si>
  <si>
    <t>48. ¿Usted o algún miembro ha pasado todo un día y una noche sin comer nada?</t>
  </si>
  <si>
    <t>49. ¿Cuántas veces ocurrió esto en los últimos 30 días?</t>
  </si>
  <si>
    <t>50. En los últimos 3 meses ¿su hogar ha podido satisfacer todas, la mayoría, algunas o ninguna de las necesidades básicas?</t>
  </si>
  <si>
    <t>52.  ¿En el último mes (30 días), alguien en su hogar se vio en la necesidad de hacer alguna de las siguientes actividades debido a que no había suficientes alimentos o dinero para comprar comida?</t>
  </si>
  <si>
    <t>Violencia física / abuso</t>
  </si>
  <si>
    <t>Violencia sexual</t>
  </si>
  <si>
    <t>Violencia psicológica (actos de discriminación o xenofobia por etnicidad, nacionalidad o estatus migratorio)</t>
  </si>
  <si>
    <t>Violencia económica (robo, estafa)</t>
  </si>
  <si>
    <t>Acoso sexual</t>
  </si>
  <si>
    <t>Tensiones entre migrantes y comunidades de acogida</t>
  </si>
  <si>
    <t xml:space="preserve"> Violencia basada en género</t>
  </si>
  <si>
    <t>Por su nacionalidad</t>
  </si>
  <si>
    <t>Por su edad</t>
  </si>
  <si>
    <t>Por su grupo étnico o color de piel</t>
  </si>
  <si>
    <t>Por ser mujer</t>
  </si>
  <si>
    <t>Por ser hombre</t>
  </si>
  <si>
    <t>Por su religión</t>
  </si>
  <si>
    <t>Por su orientación sexual</t>
  </si>
  <si>
    <t>No hemos sentido ningún tipo de inseguridad o violencia</t>
  </si>
  <si>
    <t>No he sentido discriminación</t>
  </si>
  <si>
    <t>55. ¿Quién en el hogar decide cómo usar el dinero (decide sobre los gastos del hogar)?</t>
  </si>
  <si>
    <t>56. ¿A cuál régimen en seguridad social está afiliado el jefe del hogar?</t>
  </si>
  <si>
    <t>57. ¿Cuánto fue el ingreso de su hogar en la última semana?</t>
  </si>
  <si>
    <t>58. ¿Cómo describe sus ingresos?</t>
  </si>
  <si>
    <t>59. ¿Cuál ha sido su principal fuente de ingreso del hogar en la última semana?</t>
  </si>
  <si>
    <t>Otros</t>
  </si>
  <si>
    <t>ingresos_mes</t>
  </si>
  <si>
    <t>. &gt;= ${ingresos_semana}</t>
  </si>
  <si>
    <t>El valor debe ser mayor que el valor de los ingresos de la semana</t>
  </si>
  <si>
    <t>arriendo_servicios</t>
  </si>
  <si>
    <t>¿El arriendo incluye servicios públicos?</t>
  </si>
  <si>
    <t>gasto_internet</t>
  </si>
  <si>
    <t>v_internet</t>
  </si>
  <si>
    <t>${gasto_internet} &gt; 500000</t>
  </si>
  <si>
    <t>${arriendo_servicios} = 0</t>
  </si>
  <si>
    <t>Registrar valor en COP. Si el recibo está en mora, escriba cuál es el valor mensual del servicios</t>
  </si>
  <si>
    <t xml:space="preserve"> ¿Cuánto dinero ahorró en los últimos 30 días? &lt;br&gt; &lt;span style="color:red"&gt;Si la persona no sabe escriba 99 o si no quiere responder escriba 88&lt;/span&gt;</t>
  </si>
  <si>
    <t>gastos_totales_30</t>
  </si>
  <si>
    <t>coalesce(${gasto_alimentos_number}, 0) + coalesce(${gasto_educacion_number}, 0) + coalesce(${gasto_transporte_number}, 0) + coalesce(${gasto_salud_number}, 0) + coalesce(${gasto_arriendo_number}, 0) + coalesce(${gasto_agua_number}, 0) + coalesce(${gasto_energia_number}, 0) + coalesce(${gasto_gas_gasolina_number}, 0) + coalesce(${gasto_carbon_lena_number}, 0) + coalesce(${gasto_internet_number}, 0) + coalesce(${gasto_no_alim_number}, 0) + coalesce(${gasto_prestamos_number}, 0) + coalesce(${gasto_inversion_number}, 0) + coalesce(${gasto_remesas_ven_number}, 0) + coalesce(${gasto_ahorros_number}, 0) + coalesce(${gasto_otros_number}, 0)</t>
  </si>
  <si>
    <t>umbral_alerta_gastos</t>
  </si>
  <si>
    <t>lista_gastos</t>
  </si>
  <si>
    <t>Alimentos</t>
  </si>
  <si>
    <t>Transporte</t>
  </si>
  <si>
    <t>Arriendo</t>
  </si>
  <si>
    <t>Energía</t>
  </si>
  <si>
    <t>Gas y Gasolina</t>
  </si>
  <si>
    <t>Carbón y Leña</t>
  </si>
  <si>
    <t>Internet y Telefonía</t>
  </si>
  <si>
    <t>Artículos no alimentarios</t>
  </si>
  <si>
    <t>Pago de préstamos</t>
  </si>
  <si>
    <t>Inversión</t>
  </si>
  <si>
    <t>Transferencias a Venezuela</t>
  </si>
  <si>
    <t>Ahorros</t>
  </si>
  <si>
    <t>Otros gastos</t>
  </si>
  <si>
    <t>caseid</t>
  </si>
  <si>
    <t>${ingresos_mes_number} * 1.30</t>
  </si>
  <si>
    <t>pulldata('cases', 'Dpto', 'id', ${ID})</t>
  </si>
  <si>
    <t>pulldata('cases', 'label', 'id', ${ID})</t>
  </si>
  <si>
    <t>pulldata('cases', 'socio_name', 'id', ${ID})</t>
  </si>
  <si>
    <t>pulldata('cases', 'fecha_deposito_1', 'id', ${ID})</t>
  </si>
  <si>
    <t>pulldata('cases', 'Mpio', 'id', ${ID})</t>
  </si>
  <si>
    <t>${departamento} = 0</t>
  </si>
  <si>
    <t>dpto_coalesce</t>
  </si>
  <si>
    <t>coalesce(${departamento_corr},${pull_dpto})</t>
  </si>
  <si>
    <t>minimal search('divipola_csv', 'matches', 'Dpto', ${dpto_coalesce})</t>
  </si>
  <si>
    <t>Dado que cambió de residencia  &lt;br&gt; ¿En qué departamento vive actualmente?</t>
  </si>
  <si>
    <t xml:space="preserve"> ${municipio} = 0 or ${departamento} = 0</t>
  </si>
  <si>
    <t>(${departamento} = 0  and ${departamento_corr} != 77) or ${municipio} = 0</t>
  </si>
  <si>
    <t>60. ¿Cuánto fue el ingreso de su hogar en el último mes?  &lt;br&gt;  &lt;span style="color:red"&gt;Si la persona no sabe escriba 99 o si no quiere responder escriba 88&lt;/span&gt;</t>
  </si>
  <si>
    <t>int( pulldata('cases', 'miembros_hogar', 'id', ${ID}))</t>
  </si>
  <si>
    <t>"Buenos días/tardes Sr/Sra  &lt;b&gt;${pull_name}&lt;/b&gt;. Mi nombre es &lt;b&gt;[Nombre]&lt;/b&gt; y trabajo con &lt;b&gt;${socio_pull}&lt;/b&gt;. Nos comunicamos con usted porque su hogar participó en el programa VenEsperanza desde  &lt;b&gt;${fecha_pull}&lt;/b&gt;  con  &lt;b&gt;${socio_pull}&lt;/b&gt; .&lt;br/&gt;&lt;br/&gt;
El motivo de esta llamada es realizar una &lt;b&gt;encuesta de seguimiento&lt;/b&gt; para conocer cómo ha cambiado la situación de su hogar desde que recibió nuestro apoyo. Queremos saber si la ayuda fue útil y cómo se encuentran actualmente su alimentación y economía.&lt;br/&gt;&lt;br/&gt;
La información que usted nos brinde es confidencial y se tratará con fines estrictamente estadísticos y de mejora del programa. Tenga en cuenta que esta entrevista es para evaluar el desempeño de nuestras actividades y &lt;b&gt;NO garantiza la entrega de nuevas ayudas monetarias o de alimentación.&lt;/b&gt;&lt;br/&gt;&lt;br/&gt;
La encuesta dura aprox. 30 minutos. Usted es libre de no responder alguna pregunta o terminar cuando desee."&lt;br/&gt;&lt;br/&gt;
&lt;i&gt;&lt;b&gt;Tratamiento de datos y privacidad:&lt;/b&gt; Tenga en cuenta que esta entrevista puede ser grabada y monitoreada para fines de control de calidad en la recolección de la información. Si tiene alguna duda o desea actualizar sus datos, puede comunicarse a los correos: &lt;b&gt;oherrera@mercycorps.org&lt;/b&gt; y &lt;br&gt; &lt;b&gt;adminproyectomercycorps@equilibriumbdc.com&lt;/b&gt;.&lt;/i&gt;</t>
  </si>
  <si>
    <t>pull_numero_contactos</t>
  </si>
  <si>
    <t>pulldata('cases', 'numero_contactos', 'id', ${ID})</t>
  </si>
  <si>
    <t>push_numero_contactos</t>
  </si>
  <si>
    <t>${pull_numero_contactos} + 1</t>
  </si>
  <si>
    <t>push_estado</t>
  </si>
  <si>
    <t>push_user</t>
  </si>
  <si>
    <t>if(${informante_id} = '1' or ${informante_id_2} = '1', 'Éxito', 
if(${no_acepta} = '1', 'No contesta', 
if(${no_acepta} = '2', 'Número equivocado', 
if(${no_acepta} = '3', 'Número fuera de servicio', 
if(${no_acepta} = '4', 'Pidió reagendamiento', 
if(${no_acepta} = '5' or ${consentimiento} = '0', 'No desea participar', 
if(${no_acepta} = '6', 'Me dio otro número de contacto', '')))))))</t>
  </si>
  <si>
    <t>push_enumerator</t>
  </si>
  <si>
    <t>enumerator_mail</t>
  </si>
  <si>
    <t>pulldata('cases', 'users', 'id', ${ID})</t>
  </si>
  <si>
    <t>tratamiento</t>
  </si>
  <si>
    <t>pulldata('cases', 'grupo', 'id', ${ID})</t>
  </si>
  <si>
    <t>pull_celular</t>
  </si>
  <si>
    <t>coalesce(${nuevo_numero},${pull_celular})</t>
  </si>
  <si>
    <t>audio audit p=100;s=condicion_migratoria;d=agradecimiento</t>
  </si>
  <si>
    <t>fecha_reagendamiento</t>
  </si>
  <si>
    <t>${no_acepta} = 4</t>
  </si>
  <si>
    <t>pulldata('cases', 'nuevo_celular', 'id', ${ID})</t>
  </si>
  <si>
    <t>push_celular</t>
  </si>
  <si>
    <t>Escriba la fecha de reagendamiento</t>
  </si>
  <si>
    <t>&lt;span style="color:red"&gt;&lt;b&gt;¿ESTÁ SEGURO?&lt;/b&gt;&lt;/span&gt; El valor digitado **(${gasto_alimentos})** es mayor a &lt;b&gt;500,000 COP&lt;/b&gt;. &lt;br&gt;&lt;br&gt; Si el valor es correcto, &lt;b&gt;continúe&lt;/b&gt;; de lo contrario, por favor &lt;b&gt;corrija&lt;/b&gt; el monto en la pregunta anterior.</t>
  </si>
  <si>
    <t>&lt;span style="color:red"&gt;&lt;b&gt;¿ESTÁ SEGURO?&lt;/b&gt;&lt;/span&gt; El valor digitado **(${gasto_educacion})** es mayor a &lt;b&gt;500,000 COP&lt;/b&gt;. &lt;br&gt;&lt;br&gt; Si el valor es correcto, &lt;b&gt;continúe&lt;/b&gt;; de lo contrario, por favor &lt;b&gt;corrija&lt;/b&gt; el monto en la pregunta anterior.</t>
  </si>
  <si>
    <t>&lt;span style="color:red"&gt;&lt;b&gt;¿ESTÁ SEGURO?&lt;/b&gt;&lt;/span&gt; El valor digitado **(${gasto_transporte})** es mayor a &lt;b&gt;500,000 COP&lt;/b&gt;. &lt;br&gt;&lt;br&gt; Si el valor es correcto, &lt;b&gt;continúe&lt;/b&gt;; de lo contrario, por favor &lt;b&gt;corrija&lt;/b&gt; el monto en la pregunta anterior.</t>
  </si>
  <si>
    <t>&lt;span style="color:red"&gt;&lt;b&gt;¿ESTÁ SEGURO?&lt;/b&gt;&lt;/span&gt; El valor digitado **(${gasto_salud})** es mayor a &lt;b&gt;500,000 COP&lt;/b&gt;. &lt;br&gt;&lt;br&gt; Si el valor es correcto, &lt;b&gt;continúe&lt;/b&gt;; de lo contrario, por favor &lt;b&gt;corrija&lt;/b&gt; el monto en la pregunta anterior.</t>
  </si>
  <si>
    <t>&lt;span style="color:red"&gt;&lt;b&gt;¿ESTÁ SEGURO?&lt;/b&gt;&lt;/span&gt; El valor digitado **(${gasto_arriendo})** es mayor a &lt;b&gt;500,000 COP&lt;/b&gt;. &lt;br&gt;&lt;br&gt; Si el valor es correcto, &lt;b&gt;continúe&lt;/b&gt;; de lo contrario, por favor &lt;b&gt;corrija&lt;/b&gt; el monto en la pregunta anterior.</t>
  </si>
  <si>
    <t>&lt;span style="color:red"&gt;&lt;b&gt;¿ESTÁ SEGURO?&lt;/b&gt;&lt;/span&gt; El valor digitado **(${gasto_agua})** es mayor a &lt;b&gt;500,000 COP&lt;/b&gt;. &lt;br&gt;&lt;br&gt; Si el valor es correcto, &lt;b&gt;continúe&lt;/b&gt;; de lo contrario, por favor &lt;b&gt;corrija&lt;/b&gt; el monto en la pregunta anterior.</t>
  </si>
  <si>
    <t>&lt;span style="color:red"&gt;&lt;b&gt;¿ESTÁ SEGURO?&lt;/b&gt;&lt;/span&gt; El valor digitado **(${gasto_energia})** es mayor a &lt;b&gt;500,000 COP&lt;/b&gt;. &lt;br&gt;&lt;br&gt; Si el valor es correcto, &lt;b&gt;continúe&lt;/b&gt;; de lo contrario, por favor &lt;b&gt;corrija&lt;/b&gt; el monto en la pregunta anterior.</t>
  </si>
  <si>
    <t>&lt;span style="color:red"&gt;&lt;b&gt;¿ESTÁ SEGURO?&lt;/b&gt;&lt;/span&gt; El valor digitado **(${gasto_gas_gasolina})** es mayor a &lt;b&gt;500,000 COP&lt;/b&gt;. &lt;br&gt;&lt;br&gt; Si el valor es correcto, &lt;b&gt;continúe&lt;/b&gt;; de lo contrario, por favor &lt;b&gt;corrija&lt;/b&gt; el monto en la pregunta anterior.</t>
  </si>
  <si>
    <t>&lt;span style="color:red"&gt;&lt;b&gt;¿ESTÁ SEGURO?&lt;/b&gt;&lt;/span&gt; El valor digitado **(${gasto_carbon_lena})** es mayor a &lt;b&gt;500,000 COP&lt;/b&gt;. &lt;br&gt;&lt;br&gt; Si el valor es correcto, &lt;b&gt;continúe&lt;/b&gt;; de lo contrario, por favor &lt;b&gt;corrija&lt;/b&gt; el monto en la pregunta anterior.</t>
  </si>
  <si>
    <t>&lt;span style="color:red"&gt;&lt;b&gt;¿ESTÁ SEGURO?&lt;/b&gt;&lt;/span&gt; El valor digitado **(${gasto_internet})** es mayor a &lt;b&gt;500,000 COP&lt;/b&gt;. &lt;br&gt;&lt;br&gt; Si el valor es correcto, &lt;b&gt;continúe&lt;/b&gt;; de lo contrario, por favor &lt;b&gt;corrija&lt;/b&gt; el monto en la pregunta anterior.</t>
  </si>
  <si>
    <t>&lt;span style="color:red"&gt;&lt;b&gt;¿ESTÁ SEGURO?&lt;/b&gt;&lt;/span&gt; El valor digitado **(${gasto_no_alim})** es mayor a &lt;b&gt;500,000 COP&lt;/b&gt;. &lt;br&gt;&lt;br&gt; Si el valor es correcto, &lt;b&gt;continúe&lt;/b&gt;; de lo contrario, por favor &lt;b&gt;corrija&lt;/b&gt; el monto en la pregunta anterior.</t>
  </si>
  <si>
    <t>&lt;span style="color:red"&gt;&lt;b&gt;¿ESTÁ SEGURO?&lt;/b&gt;&lt;/span&gt; El valor digitado **(${gasto_prestamos})** es mayor a &lt;b&gt;500,000 COP&lt;/b&gt;. &lt;br&gt;&lt;br&gt; Si el valor es correcto, &lt;b&gt;continúe&lt;/b&gt;; de lo contrario, por favor &lt;b&gt;corrija&lt;/b&gt; el monto en la pregunta anterior.</t>
  </si>
  <si>
    <t>&lt;span style="color:red"&gt;&lt;b&gt;¿ESTÁ SEGURO?&lt;/b&gt;&lt;/span&gt; El valor digitado **(${gasto_inversion})** es mayor a &lt;b&gt;500,000 COP&lt;/b&gt;. &lt;br&gt;&lt;br&gt; Si el valor es correcto, &lt;b&gt;continúe&lt;/b&gt;; de lo contrario, por favor &lt;b&gt;corrija&lt;/b&gt; el monto en la pregunta anterior.</t>
  </si>
  <si>
    <t>&lt;span style="color:red"&gt;&lt;b&gt;¿ESTÁ SEGURO?&lt;/b&gt;&lt;/span&gt; El valor digitado **(${gasto_remesas_ven})** es mayor a &lt;b&gt;500,000 COP&lt;/b&gt;. &lt;br&gt;&lt;br&gt; Si el valor es correcto, &lt;b&gt;continúe&lt;/b&gt;; de lo contrario, por favor &lt;b&gt;corrija&lt;/b&gt; el monto en la pregunta anterior.</t>
  </si>
  <si>
    <t>&lt;span style="color:red"&gt;&lt;b&gt;¿ESTÁ SEGURO?&lt;/b&gt;&lt;/span&gt; El valor digitado **(${gasto_ahorros})** es mayor a &lt;b&gt;500,000 COP&lt;/b&gt;. &lt;br&gt;&lt;br&gt; Si el valor es correcto, &lt;b&gt;continúe&lt;/b&gt;; de lo contrario, por favor &lt;b&gt;corrija&lt;/b&gt; el monto en la pregunta anterior.</t>
  </si>
  <si>
    <t>&lt;span style="color:red"&gt;&lt;b&gt;¿ESTÁ SEGURO?&lt;/b&gt;&lt;/span&gt; El valor digitado **(${gasto_otros})** es mayor a &lt;b&gt;500,000 COP&lt;/b&gt;. &lt;br&gt;&lt;br&gt; Si el valor es correcto, &lt;b&gt;continúe&lt;/b&gt;; de lo contrario, por favor &lt;b&gt;corrija&lt;/b&gt; el monto en la pregunta anterior.</t>
  </si>
  <si>
    <t>if(${informante_id} = '1' or ${informante_id_2} = '1', 'Cerrado exitosamente',
if(${no_acepta} = '5' or ${consentimiento} = '0', 'Cerrado por rechazo',
if(${no_acepta} = '2', 'Cerrado por número equivocado',
if(${push_numero_contactos} = 5 and ${no_acepta} != '4', 'Cerrado por número de contactos', ${enumerator_mail}))))</t>
  </si>
  <si>
    <t>${acepta_llamada} = 1 and ${consentimiento} = 1</t>
  </si>
  <si>
    <t>pulldata('cases', 'cuota', 'id', ${ID})</t>
  </si>
  <si>
    <t>cuota_exitosa</t>
  </si>
  <si>
    <t>pull_cuota_label</t>
  </si>
  <si>
    <t>pull_cuota_levantada</t>
  </si>
  <si>
    <t>pulldata('cuotas', 'encuestas_levantadas', 'cuota', ${pull_cuota_label})</t>
  </si>
  <si>
    <t>pull_cuota_meta</t>
  </si>
  <si>
    <t>pulldata('cuotas', 'meta', 'cuota', ${pull_cuota_label})</t>
  </si>
  <si>
    <t>cuota_sobrepasada</t>
  </si>
  <si>
    <t>&lt;b&gt; ESTE SEGMENTO DE CUOTAS YA FUE COMPLETADO. NO PUEDE REALIZAR ESTA ENCUESTA &lt;b/&gt;</t>
  </si>
  <si>
    <t>${pull_cuota_levantada} &gt;= ${pull_cuota_meta}</t>
  </si>
  <si>
    <t>if( ${informante_id} = '1' or ${informante_id_2} = '1',1,0)</t>
  </si>
  <si>
    <t>${hhs_falta_comida} = 1</t>
  </si>
  <si>
    <t>${hhs_dormir_hambre} = 1</t>
  </si>
  <si>
    <t>${hhs_sin_comer} =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</si>
</sst>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2"/>
      <color indexed="8"/>
      <name val="Calibri"/>
      <family val="2"/>
    </font>
    <font>
      <sz val="8"/>
      <name val="Verdana"/>
      <family val="2"/>
    </font>
    <font>
      <u/>
      <sz val="12"/>
      <color indexed="12"/>
      <name val="Calibri"/>
      <family val="2"/>
    </font>
    <font>
      <sz val="12"/>
      <color indexed="8"/>
      <name val="Calibri"/>
      <family val="2"/>
    </font>
    <font>
      <sz val="12"/>
      <color theme="1"/>
      <name val="Calibri"/>
      <family val="2"/>
      <charset val="129"/>
      <scheme val="minor"/>
    </font>
    <font>
      <sz val="12"/>
      <color indexed="8"/>
      <name val="Calibri"/>
      <family val="2"/>
      <scheme val="minor"/>
    </font>
    <font>
      <b/>
      <sz val="12"/>
      <color indexed="8"/>
      <name val="Calibri"/>
      <family val="2"/>
      <scheme val="minor"/>
    </font>
    <font>
      <b/>
      <sz val="12"/>
      <name val="Calibri"/>
      <family val="2"/>
      <scheme val="minor"/>
    </font>
    <font>
      <b/>
      <u/>
      <sz val="12"/>
      <color rgb="FF000000"/>
      <name val="Calibri"/>
      <family val="2"/>
    </font>
    <font>
      <i/>
      <sz val="12"/>
      <color indexed="8"/>
      <name val="Calibri"/>
      <family val="2"/>
    </font>
    <font>
      <b/>
      <sz val="12"/>
      <color indexed="8"/>
      <name val="Calibri"/>
      <family val="2"/>
    </font>
    <font>
      <u/>
      <sz val="12"/>
      <color indexed="8"/>
      <name val="Calibri"/>
      <family val="2"/>
    </font>
    <font>
      <sz val="12"/>
      <color rgb="FF000000"/>
      <name val="Calibri"/>
      <family val="2"/>
    </font>
    <font>
      <b/>
      <sz val="12"/>
      <color rgb="FF333333"/>
      <name val="Calibri"/>
      <family val="2"/>
      <scheme val="minor"/>
    </font>
    <font>
      <sz val="12"/>
      <color rgb="FF333333"/>
      <name val="Calibri"/>
      <family val="2"/>
      <scheme val="minor"/>
    </font>
    <font>
      <b/>
      <u/>
      <sz val="12"/>
      <color indexed="8"/>
      <name val="Calibri"/>
      <family val="2"/>
    </font>
    <font>
      <sz val="12"/>
      <color theme="1"/>
      <name val="Calibri"/>
      <family val="2"/>
    </font>
    <font>
      <sz val="11"/>
      <color rgb="FF1F1F1F"/>
      <name val="Calibri"/>
      <family val="2"/>
      <scheme val="minor"/>
    </font>
    <font>
      <sz val="12"/>
      <color rgb="FF000000"/>
      <name val="Calibri"/>
      <family val="2"/>
    </font>
    <font>
      <sz val="11"/>
      <color theme="1"/>
      <name val="Aptos Narrow"/>
      <family val="2"/>
    </font>
    <font>
      <b/>
      <sz val="11"/>
      <color theme="1"/>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theme="6" tint="0.79998168889431442"/>
        <bgColor indexed="64"/>
      </patternFill>
    </fill>
    <fill>
      <patternFill patternType="solid">
        <fgColor rgb="FFDAEEF3"/>
        <bgColor rgb="FF000000"/>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DE9D9"/>
        <bgColor rgb="FF000000"/>
      </patternFill>
    </fill>
  </fills>
  <borders count="19">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rgb="FF808080"/>
      </left>
      <right/>
      <top style="thin">
        <color rgb="FF808080"/>
      </top>
      <bottom/>
      <diagonal/>
    </border>
    <border>
      <left/>
      <right style="thin">
        <color rgb="FF808080"/>
      </right>
      <top style="thin">
        <color rgb="FF808080"/>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rgb="FF808080"/>
      </left>
      <right style="thin">
        <color rgb="FF808080"/>
      </right>
      <top style="thin">
        <color rgb="FF808080"/>
      </top>
      <bottom style="thin">
        <color rgb="FF808080"/>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thin">
        <color rgb="FF7F7F7F"/>
      </left>
      <right style="thin">
        <color rgb="FF7F7F7F"/>
      </right>
      <top style="thin">
        <color rgb="FF7F7F7F"/>
      </top>
      <bottom style="thin">
        <color rgb="FF7F7F7F"/>
      </bottom>
      <diagonal/>
    </border>
    <border>
      <left style="medium">
        <color rgb="FF000000"/>
      </left>
      <right style="medium">
        <color rgb="FF000000"/>
      </right>
      <top/>
      <bottom/>
      <diagonal/>
    </border>
    <border>
      <left/>
      <right style="medium">
        <color rgb="FF000000"/>
      </right>
      <top/>
      <bottom/>
      <diagonal/>
    </border>
    <border>
      <left/>
      <right/>
      <top style="medium">
        <color indexed="64"/>
      </top>
      <bottom/>
      <diagonal/>
    </border>
    <border>
      <left/>
      <right/>
      <top/>
      <bottom style="medium">
        <color indexed="64"/>
      </bottom>
      <diagonal/>
    </border>
  </borders>
  <cellStyleXfs count="3">
    <xf numFmtId="0" fontId="0" fillId="0" borderId="0"/>
    <xf numFmtId="0" fontId="2" fillId="0" borderId="0" applyNumberFormat="0" applyFill="0" applyBorder="0" applyAlignment="0" applyProtection="0">
      <alignment vertical="top"/>
      <protection locked="0"/>
    </xf>
    <xf numFmtId="0" fontId="4" fillId="0" borderId="0"/>
  </cellStyleXfs>
  <cellXfs count="72">
    <xf numFmtId="0" fontId="0" fillId="0" borderId="0" xfId="0"/>
    <xf numFmtId="0" fontId="3" fillId="0" borderId="0" xfId="0" applyFont="1"/>
    <xf numFmtId="0" fontId="5" fillId="0" borderId="0" xfId="0" applyFont="1"/>
    <xf numFmtId="0" fontId="6" fillId="2" borderId="0" xfId="0" applyFont="1" applyFill="1"/>
    <xf numFmtId="0" fontId="6" fillId="2" borderId="0" xfId="0" applyFont="1" applyFill="1" applyAlignment="1">
      <alignment wrapText="1"/>
    </xf>
    <xf numFmtId="0" fontId="6" fillId="2" borderId="1" xfId="0" applyFont="1" applyFill="1" applyBorder="1"/>
    <xf numFmtId="0" fontId="7" fillId="2" borderId="1" xfId="0" applyFont="1" applyFill="1" applyBorder="1" applyAlignment="1">
      <alignment wrapText="1"/>
    </xf>
    <xf numFmtId="0" fontId="6" fillId="2" borderId="1" xfId="0" applyFont="1" applyFill="1" applyBorder="1" applyAlignment="1">
      <alignment wrapText="1"/>
    </xf>
    <xf numFmtId="0" fontId="5" fillId="0" borderId="1" xfId="0" applyFont="1" applyBorder="1"/>
    <xf numFmtId="49" fontId="5" fillId="0" borderId="1" xfId="0" applyNumberFormat="1" applyFont="1" applyBorder="1" applyAlignment="1">
      <alignment wrapText="1"/>
    </xf>
    <xf numFmtId="0" fontId="5" fillId="0" borderId="1" xfId="0" applyFont="1" applyBorder="1" applyAlignment="1">
      <alignment wrapText="1"/>
    </xf>
    <xf numFmtId="0" fontId="6" fillId="2" borderId="2" xfId="0" applyFont="1" applyFill="1" applyBorder="1"/>
    <xf numFmtId="49" fontId="6" fillId="2" borderId="2" xfId="0" applyNumberFormat="1" applyFont="1" applyFill="1" applyBorder="1" applyAlignment="1">
      <alignment wrapText="1"/>
    </xf>
    <xf numFmtId="0" fontId="7" fillId="2" borderId="2" xfId="0" applyFont="1" applyFill="1" applyBorder="1" applyAlignment="1">
      <alignment wrapText="1"/>
    </xf>
    <xf numFmtId="0" fontId="3" fillId="0" borderId="2" xfId="0" applyFont="1" applyBorder="1"/>
    <xf numFmtId="0" fontId="0" fillId="0" borderId="2" xfId="0" applyBorder="1"/>
    <xf numFmtId="0" fontId="4" fillId="0" borderId="2" xfId="2" applyBorder="1"/>
    <xf numFmtId="0" fontId="2" fillId="0" borderId="2" xfId="1" applyBorder="1" applyAlignment="1" applyProtection="1"/>
    <xf numFmtId="0" fontId="0" fillId="0" borderId="0" xfId="0" applyAlignment="1">
      <alignment wrapText="1"/>
    </xf>
    <xf numFmtId="0" fontId="0" fillId="5" borderId="1" xfId="0" applyFill="1" applyBorder="1" applyAlignment="1">
      <alignment horizontal="left" vertical="top" wrapText="1"/>
    </xf>
    <xf numFmtId="0" fontId="0" fillId="5" borderId="1" xfId="0" applyFill="1" applyBorder="1" applyAlignment="1">
      <alignment vertical="top"/>
    </xf>
    <xf numFmtId="0" fontId="0" fillId="6" borderId="1" xfId="0" applyFill="1" applyBorder="1" applyAlignment="1">
      <alignment wrapText="1"/>
    </xf>
    <xf numFmtId="0" fontId="0" fillId="6" borderId="1" xfId="0" applyFill="1" applyBorder="1"/>
    <xf numFmtId="0" fontId="0" fillId="6" borderId="0" xfId="0" applyFill="1"/>
    <xf numFmtId="0" fontId="0" fillId="6" borderId="1" xfId="0" applyFill="1" applyBorder="1" applyAlignment="1">
      <alignment horizontal="left" vertical="top"/>
    </xf>
    <xf numFmtId="0" fontId="0" fillId="6" borderId="1" xfId="0" applyFill="1" applyBorder="1" applyAlignment="1">
      <alignment horizontal="left" vertical="top" wrapText="1"/>
    </xf>
    <xf numFmtId="0" fontId="12" fillId="7" borderId="9" xfId="0" applyFont="1" applyFill="1" applyBorder="1" applyAlignment="1">
      <alignment horizontal="left" vertical="top" wrapText="1"/>
    </xf>
    <xf numFmtId="0" fontId="0" fillId="6" borderId="1" xfId="0" applyFill="1" applyBorder="1" applyAlignment="1">
      <alignment horizontal="center" vertical="top"/>
    </xf>
    <xf numFmtId="0" fontId="0" fillId="3" borderId="1" xfId="0" applyFill="1" applyBorder="1" applyAlignment="1">
      <alignment wrapText="1"/>
    </xf>
    <xf numFmtId="0" fontId="0" fillId="3" borderId="1" xfId="0" applyFill="1" applyBorder="1"/>
    <xf numFmtId="0" fontId="0" fillId="0" borderId="1" xfId="0" applyBorder="1"/>
    <xf numFmtId="0" fontId="13" fillId="3" borderId="1" xfId="0" applyFont="1" applyFill="1" applyBorder="1" applyAlignment="1">
      <alignment horizontal="center"/>
    </xf>
    <xf numFmtId="0" fontId="14" fillId="3" borderId="1" xfId="0" applyFont="1" applyFill="1" applyBorder="1" applyAlignment="1">
      <alignment horizontal="center"/>
    </xf>
    <xf numFmtId="16" fontId="14" fillId="3" borderId="1" xfId="0" applyNumberFormat="1" applyFont="1" applyFill="1" applyBorder="1" applyAlignment="1">
      <alignment horizontal="center"/>
    </xf>
    <xf numFmtId="0" fontId="14"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horizontal="center" wrapText="1"/>
    </xf>
    <xf numFmtId="0" fontId="6" fillId="2" borderId="2" xfId="0" applyFont="1" applyFill="1" applyBorder="1" applyAlignment="1">
      <alignment wrapText="1"/>
    </xf>
    <xf numFmtId="0" fontId="0" fillId="0" borderId="0" xfId="0" applyAlignment="1">
      <alignment horizontal="left" vertical="center" wrapText="1"/>
    </xf>
    <xf numFmtId="0" fontId="6" fillId="2" borderId="1" xfId="0" applyFont="1" applyFill="1" applyBorder="1" applyAlignment="1">
      <alignment horizontal="left" vertical="center" wrapText="1"/>
    </xf>
    <xf numFmtId="0" fontId="7" fillId="2" borderId="1" xfId="0" applyFont="1" applyFill="1" applyBorder="1" applyAlignment="1">
      <alignment horizontal="left" vertical="center" wrapText="1"/>
    </xf>
    <xf numFmtId="49" fontId="0" fillId="0" borderId="0" xfId="0" applyNumberFormat="1" applyAlignment="1">
      <alignment horizontal="left" vertical="center" wrapText="1"/>
    </xf>
    <xf numFmtId="49" fontId="5" fillId="2" borderId="1" xfId="0" applyNumberFormat="1" applyFont="1" applyFill="1" applyBorder="1" applyAlignment="1">
      <alignment wrapText="1"/>
    </xf>
    <xf numFmtId="0" fontId="17" fillId="0" borderId="15" xfId="0" applyFont="1" applyBorder="1" applyAlignment="1">
      <alignment horizontal="left" vertical="center" wrapText="1" indent="1" readingOrder="1"/>
    </xf>
    <xf numFmtId="0" fontId="17" fillId="0" borderId="0" xfId="0" applyFont="1" applyAlignment="1">
      <alignment horizontal="left" vertical="center" wrapText="1" indent="1" readingOrder="1"/>
    </xf>
    <xf numFmtId="0" fontId="18" fillId="0" borderId="14" xfId="0" applyFont="1" applyBorder="1" applyAlignment="1">
      <alignment vertical="center"/>
    </xf>
    <xf numFmtId="49" fontId="18" fillId="0" borderId="14" xfId="0" applyNumberFormat="1" applyFont="1" applyBorder="1" applyAlignment="1">
      <alignment vertical="center" wrapText="1"/>
    </xf>
    <xf numFmtId="0" fontId="18" fillId="0" borderId="14" xfId="0" applyFont="1" applyBorder="1" applyAlignment="1">
      <alignment wrapText="1"/>
    </xf>
    <xf numFmtId="0" fontId="18" fillId="0" borderId="14" xfId="0" applyFont="1" applyBorder="1"/>
    <xf numFmtId="0" fontId="18" fillId="0" borderId="0" xfId="0" applyFont="1"/>
    <xf numFmtId="0" fontId="5" fillId="0" borderId="0" xfId="0" applyFont="1" applyAlignment="1">
      <alignment wrapText="1"/>
    </xf>
    <xf numFmtId="49" fontId="18" fillId="0" borderId="0" xfId="0" applyNumberFormat="1" applyFont="1" applyAlignment="1">
      <alignment vertical="center" wrapText="1"/>
    </xf>
    <xf numFmtId="0" fontId="12" fillId="0" borderId="0" xfId="0" applyFont="1"/>
    <xf numFmtId="0" fontId="19" fillId="0" borderId="16" xfId="0" applyFont="1" applyBorder="1"/>
    <xf numFmtId="0" fontId="16" fillId="0" borderId="0" xfId="0" applyFont="1"/>
    <xf numFmtId="0" fontId="0" fillId="0" borderId="17" xfId="0" applyBorder="1"/>
    <xf numFmtId="0" fontId="20" fillId="0" borderId="18" xfId="0" applyFont="1" applyBorder="1"/>
    <xf numFmtId="0" fontId="18" fillId="0" borderId="0" xfId="0" applyFont="1" applyAlignment="1">
      <alignment wrapText="1"/>
    </xf>
    <xf numFmtId="0" fontId="12" fillId="0" borderId="0" xfId="0" applyFont="1" applyAlignment="1">
      <alignment vertical="center"/>
    </xf>
    <xf numFmtId="49" fontId="5" fillId="0" borderId="0" xfId="0" applyNumberFormat="1" applyFont="1" applyAlignment="1">
      <alignment wrapText="1"/>
    </xf>
    <xf numFmtId="49" fontId="12" fillId="0" borderId="0" xfId="0" applyNumberFormat="1" applyFont="1" applyAlignment="1">
      <alignment vertical="center" wrapText="1"/>
    </xf>
    <xf numFmtId="0" fontId="8" fillId="4" borderId="3" xfId="0" applyFont="1" applyFill="1" applyBorder="1" applyAlignment="1">
      <alignment horizontal="left" vertical="center" wrapText="1"/>
    </xf>
    <xf numFmtId="0" fontId="8" fillId="4" borderId="4" xfId="0" applyFont="1" applyFill="1" applyBorder="1" applyAlignment="1">
      <alignment horizontal="left" vertical="center" wrapText="1"/>
    </xf>
    <xf numFmtId="0" fontId="0" fillId="5" borderId="5" xfId="0" applyFill="1" applyBorder="1" applyAlignment="1">
      <alignment horizontal="center" vertical="center" wrapText="1"/>
    </xf>
    <xf numFmtId="0" fontId="0" fillId="5" borderId="6" xfId="0" applyFill="1" applyBorder="1" applyAlignment="1">
      <alignment horizontal="center" vertical="center" wrapText="1"/>
    </xf>
    <xf numFmtId="0" fontId="0" fillId="5" borderId="7" xfId="0" applyFill="1" applyBorder="1" applyAlignment="1">
      <alignment horizontal="left" vertical="center" wrapText="1"/>
    </xf>
    <xf numFmtId="0" fontId="0" fillId="5" borderId="8" xfId="0" applyFill="1" applyBorder="1" applyAlignment="1">
      <alignment horizontal="left" vertical="center" wrapText="1"/>
    </xf>
    <xf numFmtId="0" fontId="11" fillId="6" borderId="1" xfId="0" applyFont="1" applyFill="1" applyBorder="1" applyAlignment="1">
      <alignment horizontal="left"/>
    </xf>
    <xf numFmtId="0" fontId="11" fillId="3" borderId="10" xfId="0" applyFont="1" applyFill="1" applyBorder="1" applyAlignment="1">
      <alignment horizontal="left"/>
    </xf>
    <xf numFmtId="0" fontId="11" fillId="3" borderId="11" xfId="0" applyFont="1" applyFill="1" applyBorder="1" applyAlignment="1">
      <alignment horizontal="left"/>
    </xf>
    <xf numFmtId="0" fontId="15" fillId="5" borderId="12" xfId="0" applyFont="1" applyFill="1" applyBorder="1" applyAlignment="1">
      <alignment horizontal="left" vertical="center" wrapText="1"/>
    </xf>
    <xf numFmtId="0" fontId="15" fillId="5" borderId="13" xfId="0" applyFont="1" applyFill="1" applyBorder="1" applyAlignment="1">
      <alignment horizontal="left" vertical="center" wrapText="1"/>
    </xf>
  </cellXfs>
  <cellStyles count="3">
    <cellStyle name="Hipervínculo" xfId="1" builtinId="8"/>
    <cellStyle name="Normal" xfId="0" builtinId="0"/>
    <cellStyle name="Normal 2" xfId="2" xr:uid="{00000000-0005-0000-0000-000002000000}"/>
  </cellStyles>
  <dxfs count="568">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bgColor rgb="FFEEB400"/>
        </patternFill>
      </fill>
    </dxf>
    <dxf>
      <fill>
        <patternFill>
          <bgColor rgb="FFFF9900"/>
        </patternFill>
      </fill>
    </dxf>
    <dxf>
      <fill>
        <patternFill patternType="solid">
          <fgColor indexed="64"/>
          <bgColor theme="4" tint="0.79998168889431442"/>
        </patternFill>
      </fill>
    </dxf>
    <dxf>
      <fill>
        <patternFill>
          <bgColor rgb="FF99BCE7"/>
        </patternFill>
      </fill>
    </dxf>
    <dxf>
      <fill>
        <patternFill>
          <bgColor rgb="FFFFD44B"/>
        </patternFill>
      </fill>
    </dxf>
    <dxf>
      <fill>
        <patternFill>
          <bgColor rgb="FFFFBB57"/>
        </patternFill>
      </fill>
    </dxf>
    <dxf>
      <fill>
        <patternFill patternType="solid">
          <fgColor indexed="64"/>
          <bgColor theme="6" tint="0.79998168889431442"/>
        </patternFill>
      </fill>
    </dxf>
    <dxf>
      <fill>
        <patternFill>
          <bgColor rgb="FFE3E0CF"/>
        </patternFill>
      </fill>
    </dxf>
    <dxf>
      <fill>
        <patternFill>
          <bgColor rgb="FFDDE8C6"/>
        </patternFill>
      </fill>
    </dxf>
    <dxf>
      <fill>
        <patternFill patternType="solid">
          <fgColor indexed="64"/>
          <bgColor rgb="FFE7D48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FFBB57"/>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FFD44B"/>
        </patternFill>
      </fill>
    </dxf>
    <dxf>
      <font>
        <color auto="1"/>
      </font>
      <fill>
        <patternFill patternType="solid">
          <fgColor indexed="64"/>
          <bgColor theme="0" tint="-0.14999847407452621"/>
        </patternFill>
      </fill>
    </dxf>
    <dxf>
      <fill>
        <patternFill patternType="solid">
          <fgColor indexed="64"/>
          <bgColor rgb="FFFBFB00"/>
        </patternFill>
      </fill>
    </dxf>
    <dxf>
      <fill>
        <patternFill>
          <bgColor rgb="FFFF6969"/>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patternType="solid">
          <fgColor rgb="FF93CDDC"/>
          <bgColor rgb="FF93CDDC"/>
        </patternFill>
      </fill>
    </dxf>
    <dxf>
      <fill>
        <patternFill patternType="solid">
          <fgColor rgb="FFFBD4B4"/>
          <bgColor rgb="FFFBD4B4"/>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F6969"/>
          <bgColor rgb="FFFF6969"/>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DBE5F1"/>
          <bgColor rgb="FFDBE5F1"/>
        </patternFill>
      </fill>
    </dxf>
    <dxf>
      <fill>
        <patternFill patternType="solid">
          <fgColor rgb="FF99BCE7"/>
          <bgColor rgb="FF99BCE7"/>
        </patternFill>
      </fill>
    </dxf>
    <dxf>
      <fill>
        <patternFill patternType="solid">
          <fgColor rgb="FF92CDDC"/>
          <bgColor rgb="FF92CDDC"/>
        </patternFill>
      </fill>
    </dxf>
    <dxf>
      <fill>
        <patternFill patternType="solid">
          <fgColor rgb="FFFBD4B4"/>
          <bgColor rgb="FFFBD4B4"/>
        </patternFill>
      </fill>
    </dxf>
    <dxf>
      <fill>
        <patternFill patternType="solid">
          <fgColor rgb="FFFFD44B"/>
          <bgColor rgb="FFFFD44B"/>
        </patternFill>
      </fill>
    </dxf>
    <dxf>
      <fill>
        <patternFill patternType="solid">
          <fgColor rgb="FFCCC0D9"/>
          <bgColor rgb="FFCCC0D9"/>
        </patternFill>
      </fill>
    </dxf>
    <dxf>
      <fill>
        <patternFill patternType="solid">
          <fgColor rgb="FFEAF1DD"/>
          <bgColor rgb="FFEAF1DD"/>
        </patternFill>
      </fill>
    </dxf>
    <dxf>
      <fill>
        <patternFill patternType="solid">
          <fgColor rgb="FFF2DBDA"/>
          <bgColor rgb="FFF2DBDA"/>
        </patternFill>
      </fill>
    </dxf>
    <dxf>
      <fill>
        <patternFill patternType="solid">
          <fgColor rgb="FFEAEB74"/>
          <bgColor rgb="FFEAEB7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4685D2"/>
          <bgColor rgb="FF4685D2"/>
        </patternFill>
      </fill>
    </dxf>
    <dxf>
      <fill>
        <patternFill patternType="solid">
          <fgColor rgb="FFEEB400"/>
          <bgColor rgb="FFEEB400"/>
        </patternFill>
      </fill>
    </dxf>
    <dxf>
      <fill>
        <patternFill patternType="solid">
          <fgColor rgb="FFE4E300"/>
          <bgColor rgb="FFE4E300"/>
        </patternFill>
      </fill>
    </dxf>
    <dxf>
      <fill>
        <patternFill patternType="solid">
          <fgColor rgb="FFFABF8F"/>
          <bgColor rgb="FFFABF8F"/>
        </patternFill>
      </fill>
    </dxf>
    <dxf>
      <fill>
        <patternFill patternType="solid">
          <fgColor rgb="FFD6E3BC"/>
          <bgColor rgb="FFD6E3BC"/>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EEB400"/>
          <bgColor rgb="FFEEB400"/>
        </patternFill>
      </fill>
    </dxf>
    <dxf>
      <fill>
        <patternFill patternType="solid">
          <fgColor rgb="FFFF9900"/>
          <bgColor rgb="FFFF9900"/>
        </patternFill>
      </fill>
    </dxf>
    <dxf>
      <fill>
        <patternFill patternType="solid">
          <fgColor rgb="FFF2F2F2"/>
          <bgColor rgb="FFF2F2F2"/>
        </patternFill>
      </fill>
    </dxf>
    <dxf>
      <fill>
        <patternFill patternType="solid">
          <fgColor rgb="FFFF9900"/>
          <bgColor rgb="FFFF9900"/>
        </patternFill>
      </fill>
    </dxf>
    <dxf>
      <fill>
        <patternFill patternType="solid">
          <fgColor rgb="FFB8CCE4"/>
          <bgColor rgb="FFB8CCE4"/>
        </patternFill>
      </fill>
    </dxf>
    <dxf>
      <fill>
        <patternFill patternType="solid">
          <fgColor rgb="FFBBBB59"/>
          <bgColor rgb="FFBBBB59"/>
        </patternFill>
      </fill>
    </dxf>
    <dxf>
      <fill>
        <patternFill patternType="solid">
          <fgColor theme="8"/>
          <bgColor theme="8"/>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rgb="FFDCC97A"/>
          <bgColor rgb="FFDCC97A"/>
        </patternFill>
      </fill>
    </dxf>
    <dxf>
      <fill>
        <patternFill patternType="solid">
          <fgColor indexed="64"/>
          <bgColor theme="4" tint="0.79998168889431442"/>
        </patternFill>
      </fill>
    </dxf>
    <dxf>
      <fill>
        <patternFill>
          <bgColor rgb="FF99BCE7"/>
        </patternFill>
      </fill>
    </dxf>
    <dxf>
      <fill>
        <patternFill patternType="solid">
          <fgColor rgb="FFDBE5F1"/>
          <bgColor rgb="FFDBE5F1"/>
        </patternFill>
      </fill>
    </dxf>
    <dxf>
      <fill>
        <patternFill patternType="solid">
          <fgColor rgb="FF99BCE7"/>
          <bgColor rgb="FF99BCE7"/>
        </patternFill>
      </fill>
    </dxf>
    <dxf>
      <fill>
        <patternFill patternType="solid">
          <fgColor rgb="FF92CDDC"/>
          <bgColor rgb="FF92CDDC"/>
        </patternFill>
      </fill>
    </dxf>
    <dxf>
      <fill>
        <patternFill patternType="solid">
          <fgColor rgb="FFFBD4B4"/>
          <bgColor rgb="FFFBD4B4"/>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patternType="solid">
          <fgColor rgb="FFEAEB74"/>
          <bgColor rgb="FFEAEB7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CCC0D9"/>
          <bgColor rgb="FFCCC0D9"/>
        </patternFill>
      </fill>
    </dxf>
    <dxf>
      <fill>
        <patternFill patternType="solid">
          <fgColor rgb="FFEAF1DD"/>
          <bgColor rgb="FFEAF1DD"/>
        </patternFill>
      </fill>
    </dxf>
    <dxf>
      <fill>
        <patternFill patternType="solid">
          <fgColor rgb="FFF2DBDA"/>
          <bgColor rgb="FFF2DBDA"/>
        </patternFill>
      </fill>
    </dxf>
    <dxf>
      <fill>
        <patternFill patternType="solid">
          <fgColor rgb="FFFFD44B"/>
          <bgColor rgb="FFFFD44B"/>
        </patternFill>
      </fill>
    </dxf>
    <dxf>
      <fill>
        <patternFill>
          <bgColor rgb="FFFFBB57"/>
        </patternFill>
      </fill>
    </dxf>
    <dxf>
      <fill>
        <patternFill>
          <bgColor rgb="FFFFD44B"/>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E3E0CF"/>
        </patternFill>
      </fill>
    </dxf>
    <dxf>
      <fill>
        <patternFill>
          <bgColor rgb="FFDDE8C6"/>
        </patternFill>
      </fill>
    </dxf>
    <dxf>
      <fill>
        <patternFill patternType="solid">
          <fgColor indexed="64"/>
          <bgColor rgb="FFE7D480"/>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patternType="solid">
          <fgColor rgb="FFD8D8D8"/>
          <bgColor rgb="FFD8D8D8"/>
        </patternFill>
      </fill>
    </dxf>
    <dxf>
      <fill>
        <patternFill patternType="solid">
          <fgColor rgb="FFFBFB00"/>
          <bgColor rgb="FFFBFB00"/>
        </patternFill>
      </fill>
    </dxf>
    <dxf>
      <fill>
        <patternFill patternType="solid">
          <fgColor rgb="FFFFC7CE"/>
          <bgColor rgb="FFFFC7CE"/>
        </patternFill>
      </fill>
    </dxf>
    <dxf>
      <fill>
        <patternFill patternType="solid">
          <fgColor rgb="FFFF6969"/>
          <bgColor rgb="FFFF6969"/>
        </patternFill>
      </fill>
    </dxf>
    <dxf>
      <fill>
        <patternFill patternType="solid">
          <fgColor indexed="64"/>
          <bgColor rgb="FFFBFB00"/>
        </patternFill>
      </fill>
    </dxf>
    <dxf>
      <fill>
        <patternFill>
          <bgColor rgb="FFFF6969"/>
        </patternFill>
      </fill>
    </dxf>
    <dxf>
      <fill>
        <patternFill patternType="solid">
          <fgColor rgb="FF4685D2"/>
          <bgColor rgb="FF4685D2"/>
        </patternFill>
      </fill>
    </dxf>
    <dxf>
      <fill>
        <patternFill patternType="solid">
          <fgColor rgb="FFEEB400"/>
          <bgColor rgb="FFEEB400"/>
        </patternFill>
      </fill>
    </dxf>
    <dxf>
      <fill>
        <patternFill patternType="solid">
          <fgColor rgb="FFE4E300"/>
          <bgColor rgb="FFE4E300"/>
        </patternFill>
      </fill>
    </dxf>
    <dxf>
      <fill>
        <patternFill patternType="solid">
          <fgColor rgb="FFFABF8F"/>
          <bgColor rgb="FFFABF8F"/>
        </patternFill>
      </fill>
    </dxf>
    <dxf>
      <fill>
        <patternFill patternType="solid">
          <fgColor rgb="FFD6E3BC"/>
          <bgColor rgb="FFD6E3BC"/>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EEB400"/>
          <bgColor rgb="FFEEB400"/>
        </patternFill>
      </fill>
    </dxf>
    <dxf>
      <fill>
        <patternFill patternType="solid">
          <fgColor rgb="FFFF9900"/>
          <bgColor rgb="FFFF9900"/>
        </patternFill>
      </fill>
    </dxf>
    <dxf>
      <fill>
        <patternFill patternType="solid">
          <fgColor rgb="FFF2F2F2"/>
          <bgColor rgb="FFF2F2F2"/>
        </patternFill>
      </fill>
    </dxf>
    <dxf>
      <fill>
        <patternFill patternType="solid">
          <fgColor rgb="FFFF9900"/>
          <bgColor rgb="FFFF9900"/>
        </patternFill>
      </fill>
    </dxf>
    <dxf>
      <fill>
        <patternFill patternType="solid">
          <fgColor rgb="FFB8CCE4"/>
          <bgColor rgb="FFB8CCE4"/>
        </patternFill>
      </fill>
    </dxf>
    <dxf>
      <fill>
        <patternFill patternType="solid">
          <fgColor rgb="FFBBBB59"/>
          <bgColor rgb="FFBBBB59"/>
        </patternFill>
      </fill>
    </dxf>
    <dxf>
      <fill>
        <patternFill patternType="solid">
          <fgColor theme="8"/>
          <bgColor theme="8"/>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rgb="FFDCC97A"/>
          <bgColor rgb="FFDCC97A"/>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bgColor rgb="FFFF9900"/>
        </patternFill>
      </fill>
    </dxf>
    <dxf>
      <fill>
        <patternFill>
          <bgColor rgb="FFEEB400"/>
        </patternFill>
      </fill>
    </dxf>
    <dxf>
      <fill>
        <patternFill>
          <bgColor rgb="FFFF9900"/>
        </patternFill>
      </fill>
    </dxf>
    <dxf>
      <fill>
        <patternFill patternType="solid">
          <fgColor indexed="64"/>
          <bgColor theme="0" tint="-4.9989318521683403E-2"/>
        </patternFill>
      </fill>
    </dxf>
    <dxf>
      <fill>
        <patternFill patternType="solid">
          <fgColor indexed="64"/>
          <bgColor rgb="FFE4E300"/>
        </patternFill>
      </fill>
    </dxf>
    <dxf>
      <fill>
        <patternFill>
          <bgColor rgb="FFEEB400"/>
        </patternFill>
      </fill>
    </dxf>
    <dxf>
      <fill>
        <patternFill patternType="solid">
          <fgColor indexed="64"/>
          <bgColor theme="4" tint="0.59999389629810485"/>
        </patternFill>
      </fill>
    </dxf>
    <dxf>
      <fill>
        <patternFill>
          <bgColor rgb="FF4685D2"/>
        </patternFill>
      </fill>
    </dxf>
    <dxf>
      <fill>
        <patternFill>
          <bgColor theme="9" tint="0.39994506668294322"/>
        </patternFill>
      </fill>
    </dxf>
    <dxf>
      <fill>
        <patternFill patternType="solid">
          <fgColor indexed="64"/>
          <bgColor theme="6" tint="0.59999389629810485"/>
        </patternFill>
      </fill>
    </dxf>
    <dxf>
      <fill>
        <patternFill>
          <bgColor rgb="FFFF00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030A0"/>
      <color rgb="FFB1A0C7"/>
      <color rgb="FFE0A5A4"/>
      <color rgb="FFC2514E"/>
      <color rgb="FFE6B9B8"/>
      <color rgb="FFCC706E"/>
      <color rgb="FFFFB3CC"/>
      <color rgb="FFFF6D9E"/>
      <color rgb="FFF2DBDA"/>
      <color rgb="FFE1AA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20"/>
  <sheetViews>
    <sheetView tabSelected="1" workbookViewId="0">
      <pane ySplit="1" topLeftCell="A60" activePane="bottomLeft" state="frozen"/>
      <selection pane="bottomLeft" activeCell="A70" sqref="A70:XFD70"/>
    </sheetView>
  </sheetViews>
  <sheetFormatPr baseColWidth="10" defaultColWidth="11" defaultRowHeight="15.75"/>
  <cols>
    <col min="1" max="1" width="29" style="8" customWidth="1"/>
    <col min="2" max="2" width="23" style="8" bestFit="1" customWidth="1"/>
    <col min="3" max="3" width="30.5" style="9" bestFit="1" customWidth="1"/>
    <col min="4" max="4" width="22.625" style="8" customWidth="1"/>
    <col min="5" max="5" width="7.125" style="8" bestFit="1" customWidth="1"/>
    <col min="6" max="6" width="12.625" style="8" customWidth="1"/>
    <col min="7" max="7" width="17.125" style="8" customWidth="1"/>
    <col min="8" max="8" width="17" style="10" bestFit="1" customWidth="1"/>
    <col min="9" max="9" width="17.375" style="8" customWidth="1"/>
    <col min="10" max="10" width="8.125" style="8" bestFit="1" customWidth="1"/>
    <col min="11" max="11" width="8.375" style="8" bestFit="1" customWidth="1"/>
    <col min="12" max="12" width="18" style="8" customWidth="1"/>
    <col min="13" max="13" width="9.125" style="8" bestFit="1" customWidth="1"/>
    <col min="14" max="14" width="40.125" style="8" bestFit="1" customWidth="1"/>
    <col min="15" max="15" width="14.875" style="8" bestFit="1" customWidth="1"/>
    <col min="16" max="16" width="12" style="8" bestFit="1" customWidth="1"/>
    <col min="17" max="17" width="11.625" style="8" bestFit="1" customWidth="1"/>
    <col min="18" max="18" width="11.5" style="8" bestFit="1" customWidth="1"/>
    <col min="19" max="20" width="48" style="8" customWidth="1"/>
    <col min="21" max="16384" width="11" style="2"/>
  </cols>
  <sheetData>
    <row r="1" spans="1:26" s="3" customFormat="1" ht="18" customHeight="1">
      <c r="A1" s="5" t="s">
        <v>1</v>
      </c>
      <c r="B1" s="5" t="s">
        <v>2</v>
      </c>
      <c r="C1" s="42" t="s">
        <v>22</v>
      </c>
      <c r="D1" s="5" t="s">
        <v>5</v>
      </c>
      <c r="E1" s="5" t="s">
        <v>3</v>
      </c>
      <c r="F1" s="6" t="s">
        <v>6</v>
      </c>
      <c r="G1" s="5" t="s">
        <v>7</v>
      </c>
      <c r="H1" s="7" t="s">
        <v>35</v>
      </c>
      <c r="I1" s="5" t="s">
        <v>8</v>
      </c>
      <c r="J1" s="5" t="s">
        <v>14</v>
      </c>
      <c r="K1" s="5" t="s">
        <v>9</v>
      </c>
      <c r="L1" s="5" t="s">
        <v>34</v>
      </c>
      <c r="M1" s="5" t="s">
        <v>10</v>
      </c>
      <c r="N1" s="5" t="s">
        <v>13</v>
      </c>
      <c r="O1" s="5" t="s">
        <v>33</v>
      </c>
      <c r="P1" s="5" t="s">
        <v>4</v>
      </c>
      <c r="Q1" s="5" t="s">
        <v>11</v>
      </c>
      <c r="R1" s="5" t="s">
        <v>12</v>
      </c>
      <c r="S1" s="5" t="s">
        <v>36</v>
      </c>
      <c r="T1" s="5" t="s">
        <v>47</v>
      </c>
    </row>
    <row r="2" spans="1:26">
      <c r="A2" s="8" t="s">
        <v>27</v>
      </c>
      <c r="B2" s="8" t="s">
        <v>15</v>
      </c>
      <c r="I2" s="10"/>
      <c r="J2" s="10"/>
    </row>
    <row r="3" spans="1:26" ht="18.75" customHeight="1">
      <c r="A3" s="8" t="s">
        <v>28</v>
      </c>
      <c r="B3" s="8" t="s">
        <v>16</v>
      </c>
    </row>
    <row r="4" spans="1:26">
      <c r="A4" s="8" t="s">
        <v>29</v>
      </c>
      <c r="B4" s="8" t="s">
        <v>0</v>
      </c>
      <c r="I4" s="10"/>
      <c r="J4" s="10"/>
    </row>
    <row r="5" spans="1:26" customFormat="1" ht="15.75" customHeight="1">
      <c r="A5" s="45" t="s">
        <v>41</v>
      </c>
      <c r="B5" s="45" t="s">
        <v>309</v>
      </c>
      <c r="C5" s="46"/>
      <c r="D5" s="47"/>
      <c r="E5" s="48"/>
      <c r="F5" s="48"/>
      <c r="G5" s="47"/>
      <c r="H5" s="47"/>
      <c r="I5" s="47" t="s">
        <v>310</v>
      </c>
      <c r="J5" s="47" t="s">
        <v>310</v>
      </c>
      <c r="K5" s="48"/>
      <c r="L5" s="48"/>
      <c r="M5" s="48"/>
      <c r="N5" s="48" t="s">
        <v>311</v>
      </c>
      <c r="O5" s="48"/>
      <c r="P5" s="48"/>
      <c r="Q5" s="48"/>
      <c r="R5" s="48"/>
      <c r="S5" s="48"/>
      <c r="T5" s="48"/>
      <c r="U5" s="48"/>
      <c r="V5" s="48"/>
      <c r="W5" s="48"/>
      <c r="X5" s="49"/>
      <c r="Y5" s="49"/>
      <c r="Z5" s="49"/>
    </row>
    <row r="6" spans="1:26" customFormat="1" ht="15.75" customHeight="1">
      <c r="A6" s="45" t="s">
        <v>41</v>
      </c>
      <c r="B6" s="45" t="s">
        <v>312</v>
      </c>
      <c r="C6" s="46"/>
      <c r="D6" s="47"/>
      <c r="E6" s="48"/>
      <c r="F6" s="48"/>
      <c r="G6" s="47"/>
      <c r="H6" s="47"/>
      <c r="I6" s="47" t="s">
        <v>310</v>
      </c>
      <c r="J6" s="47" t="s">
        <v>310</v>
      </c>
      <c r="K6" s="48"/>
      <c r="L6" s="48"/>
      <c r="M6" s="48"/>
      <c r="N6" s="48" t="s">
        <v>313</v>
      </c>
      <c r="O6" s="48"/>
      <c r="P6" s="48"/>
      <c r="Q6" s="48"/>
      <c r="R6" s="48"/>
      <c r="S6" s="48"/>
      <c r="T6" s="48"/>
      <c r="U6" s="48"/>
      <c r="V6" s="48"/>
      <c r="W6" s="48"/>
      <c r="X6" s="49"/>
      <c r="Y6" s="49"/>
      <c r="Z6" s="49"/>
    </row>
    <row r="7" spans="1:26" customFormat="1" ht="15.75" customHeight="1">
      <c r="A7" s="45" t="s">
        <v>335</v>
      </c>
      <c r="B7" s="45" t="s">
        <v>335</v>
      </c>
      <c r="C7" s="46"/>
      <c r="D7" s="47"/>
      <c r="E7" s="48"/>
      <c r="F7" s="48"/>
      <c r="G7" s="47"/>
      <c r="H7" s="47"/>
      <c r="I7" s="47" t="s">
        <v>310</v>
      </c>
      <c r="J7" s="47" t="s">
        <v>310</v>
      </c>
      <c r="K7" s="48"/>
      <c r="L7" s="48"/>
      <c r="M7" s="48"/>
      <c r="N7" s="48"/>
      <c r="O7" s="48"/>
      <c r="P7" s="48"/>
      <c r="Q7" s="48"/>
      <c r="R7" s="48"/>
      <c r="S7" s="48"/>
      <c r="T7" s="48"/>
      <c r="U7" s="48"/>
      <c r="V7" s="48"/>
      <c r="W7" s="48"/>
      <c r="X7" s="49"/>
      <c r="Y7" s="49"/>
      <c r="Z7" s="49"/>
    </row>
    <row r="8" spans="1:26" customFormat="1" ht="15.75" customHeight="1">
      <c r="A8" s="58" t="s">
        <v>876</v>
      </c>
      <c r="B8" s="58" t="s">
        <v>314</v>
      </c>
      <c r="C8" s="51"/>
      <c r="D8" s="57"/>
      <c r="E8" s="49"/>
      <c r="F8" s="49"/>
      <c r="G8" s="57"/>
      <c r="H8" s="57"/>
      <c r="I8" s="57"/>
      <c r="J8" s="57"/>
      <c r="K8" s="49"/>
      <c r="L8" s="49"/>
      <c r="M8" s="49"/>
      <c r="N8" s="49"/>
      <c r="O8" s="49"/>
      <c r="P8" s="49"/>
      <c r="Q8" s="49"/>
      <c r="R8" s="49"/>
      <c r="S8" s="49"/>
      <c r="T8" s="49"/>
      <c r="U8" s="49"/>
      <c r="V8" s="49"/>
      <c r="W8" s="49"/>
      <c r="X8" s="49"/>
      <c r="Y8" s="49"/>
      <c r="Z8" s="49"/>
    </row>
    <row r="9" spans="1:26">
      <c r="A9" s="8" t="s">
        <v>41</v>
      </c>
      <c r="B9" s="8" t="s">
        <v>315</v>
      </c>
      <c r="I9" s="10"/>
      <c r="J9" s="10"/>
      <c r="N9" s="8" t="s">
        <v>879</v>
      </c>
    </row>
    <row r="10" spans="1:26">
      <c r="A10" s="8" t="s">
        <v>41</v>
      </c>
      <c r="B10" s="8" t="s">
        <v>725</v>
      </c>
      <c r="I10" s="50"/>
      <c r="J10" s="10"/>
      <c r="N10" s="8" t="s">
        <v>880</v>
      </c>
    </row>
    <row r="11" spans="1:26">
      <c r="A11" s="8" t="s">
        <v>41</v>
      </c>
      <c r="B11" s="8" t="s">
        <v>726</v>
      </c>
      <c r="I11" s="50"/>
      <c r="J11" s="10"/>
      <c r="N11" s="8" t="s">
        <v>881</v>
      </c>
    </row>
    <row r="12" spans="1:26">
      <c r="A12" s="8" t="s">
        <v>41</v>
      </c>
      <c r="B12" s="8" t="s">
        <v>893</v>
      </c>
      <c r="C12" s="59"/>
      <c r="I12" s="50"/>
      <c r="J12" s="10"/>
      <c r="N12" s="8" t="s">
        <v>894</v>
      </c>
    </row>
    <row r="13" spans="1:26">
      <c r="A13" s="8" t="s">
        <v>41</v>
      </c>
      <c r="B13" s="8" t="s">
        <v>895</v>
      </c>
      <c r="C13" s="59"/>
      <c r="I13" s="50"/>
      <c r="J13" s="10"/>
      <c r="N13" s="8" t="s">
        <v>896</v>
      </c>
    </row>
    <row r="14" spans="1:26">
      <c r="A14" s="8" t="s">
        <v>41</v>
      </c>
      <c r="B14" s="8" t="s">
        <v>901</v>
      </c>
      <c r="C14" s="59"/>
      <c r="I14" s="50"/>
      <c r="J14" s="10"/>
      <c r="N14" s="8" t="s">
        <v>902</v>
      </c>
    </row>
    <row r="15" spans="1:26">
      <c r="A15" s="8" t="s">
        <v>41</v>
      </c>
      <c r="B15" s="8" t="s">
        <v>903</v>
      </c>
      <c r="C15" s="59"/>
      <c r="I15" s="50"/>
      <c r="J15" s="10"/>
      <c r="N15" s="8" t="s">
        <v>904</v>
      </c>
    </row>
    <row r="16" spans="1:26">
      <c r="A16" s="8" t="s">
        <v>41</v>
      </c>
      <c r="B16" s="8" t="s">
        <v>933</v>
      </c>
      <c r="C16" s="59"/>
      <c r="I16" s="50"/>
      <c r="J16" s="10"/>
      <c r="N16" s="8" t="s">
        <v>931</v>
      </c>
    </row>
    <row r="17" spans="1:14">
      <c r="A17" s="8" t="s">
        <v>41</v>
      </c>
      <c r="B17" s="8" t="s">
        <v>934</v>
      </c>
      <c r="C17" s="59"/>
      <c r="I17" s="50"/>
      <c r="J17" s="10"/>
      <c r="N17" s="8" t="s">
        <v>935</v>
      </c>
    </row>
    <row r="18" spans="1:14">
      <c r="A18" s="8" t="s">
        <v>41</v>
      </c>
      <c r="B18" s="8" t="s">
        <v>936</v>
      </c>
      <c r="C18" s="59"/>
      <c r="I18" s="50"/>
      <c r="J18" s="10"/>
      <c r="N18" s="8" t="s">
        <v>937</v>
      </c>
    </row>
    <row r="19" spans="1:14" ht="47.25">
      <c r="A19" s="8" t="s">
        <v>36</v>
      </c>
      <c r="B19" s="8" t="s">
        <v>938</v>
      </c>
      <c r="C19" s="59" t="s">
        <v>939</v>
      </c>
      <c r="I19" s="50" t="s">
        <v>940</v>
      </c>
      <c r="J19" s="10"/>
      <c r="K19" s="8" t="s">
        <v>38</v>
      </c>
    </row>
    <row r="20" spans="1:14">
      <c r="A20" s="8" t="s">
        <v>39</v>
      </c>
      <c r="B20" s="8" t="s">
        <v>326</v>
      </c>
      <c r="C20" s="51"/>
      <c r="I20" s="10"/>
      <c r="J20" s="10"/>
    </row>
    <row r="21" spans="1:14" ht="409.5">
      <c r="A21" s="8" t="s">
        <v>36</v>
      </c>
      <c r="B21" s="8" t="s">
        <v>290</v>
      </c>
      <c r="C21" s="9" t="s">
        <v>892</v>
      </c>
      <c r="I21" s="10"/>
      <c r="J21" s="10"/>
    </row>
    <row r="22" spans="1:14" ht="47.25">
      <c r="A22" s="8" t="s">
        <v>291</v>
      </c>
      <c r="B22" s="8" t="s">
        <v>316</v>
      </c>
      <c r="C22" s="51" t="s">
        <v>317</v>
      </c>
      <c r="I22" s="10"/>
      <c r="J22" s="10"/>
      <c r="K22" s="8" t="s">
        <v>38</v>
      </c>
    </row>
    <row r="23" spans="1:14" ht="45">
      <c r="A23" s="8" t="s">
        <v>296</v>
      </c>
      <c r="B23" s="8" t="s">
        <v>299</v>
      </c>
      <c r="C23" s="43" t="s">
        <v>763</v>
      </c>
      <c r="I23" s="10" t="s">
        <v>328</v>
      </c>
      <c r="K23" s="8" t="s">
        <v>38</v>
      </c>
    </row>
    <row r="24" spans="1:14" ht="110.25">
      <c r="A24" s="8" t="s">
        <v>291</v>
      </c>
      <c r="B24" s="8" t="s">
        <v>295</v>
      </c>
      <c r="C24" s="9" t="s">
        <v>764</v>
      </c>
      <c r="I24" s="10" t="s">
        <v>930</v>
      </c>
      <c r="K24" s="8" t="s">
        <v>38</v>
      </c>
    </row>
    <row r="25" spans="1:14">
      <c r="A25" s="8" t="s">
        <v>46</v>
      </c>
      <c r="B25" s="8" t="s">
        <v>326</v>
      </c>
      <c r="C25" s="51"/>
      <c r="I25" s="10"/>
      <c r="J25" s="10"/>
    </row>
    <row r="26" spans="1:14" ht="31.5">
      <c r="A26" s="8" t="s">
        <v>291</v>
      </c>
      <c r="B26" s="8" t="s">
        <v>330</v>
      </c>
      <c r="C26" s="51" t="s">
        <v>329</v>
      </c>
      <c r="I26" s="10" t="s">
        <v>331</v>
      </c>
      <c r="J26" s="10"/>
      <c r="K26" s="8" t="s">
        <v>38</v>
      </c>
    </row>
    <row r="27" spans="1:14" ht="63">
      <c r="A27" s="8" t="s">
        <v>318</v>
      </c>
      <c r="B27" s="8" t="s">
        <v>319</v>
      </c>
      <c r="C27" s="51" t="s">
        <v>333</v>
      </c>
      <c r="I27" s="10" t="s">
        <v>718</v>
      </c>
      <c r="J27" s="10"/>
      <c r="K27" s="8" t="s">
        <v>38</v>
      </c>
    </row>
    <row r="28" spans="1:14" ht="173.25">
      <c r="A28" s="8" t="s">
        <v>41</v>
      </c>
      <c r="B28" s="8" t="s">
        <v>897</v>
      </c>
      <c r="C28" s="51"/>
      <c r="I28" s="10"/>
      <c r="J28" s="10"/>
      <c r="N28" s="10" t="s">
        <v>899</v>
      </c>
    </row>
    <row r="29" spans="1:14" ht="31.5">
      <c r="A29" s="8" t="s">
        <v>41</v>
      </c>
      <c r="B29" s="8" t="s">
        <v>932</v>
      </c>
      <c r="C29" s="51"/>
      <c r="I29" s="10"/>
      <c r="J29" s="10"/>
      <c r="N29" s="10" t="s">
        <v>941</v>
      </c>
    </row>
    <row r="30" spans="1:14" ht="141.75">
      <c r="A30" s="8" t="s">
        <v>41</v>
      </c>
      <c r="B30" s="8" t="s">
        <v>898</v>
      </c>
      <c r="C30" s="51"/>
      <c r="I30" s="10"/>
      <c r="J30" s="10"/>
      <c r="N30" s="10" t="s">
        <v>929</v>
      </c>
    </row>
    <row r="31" spans="1:14" ht="141.75">
      <c r="A31" s="8" t="s">
        <v>41</v>
      </c>
      <c r="B31" s="8" t="s">
        <v>900</v>
      </c>
      <c r="C31" s="51"/>
      <c r="I31" s="10"/>
      <c r="J31" s="10"/>
      <c r="N31" s="10" t="s">
        <v>929</v>
      </c>
    </row>
    <row r="32" spans="1:14">
      <c r="A32" s="8" t="s">
        <v>41</v>
      </c>
      <c r="B32" s="8" t="s">
        <v>905</v>
      </c>
      <c r="C32" s="51"/>
      <c r="I32" s="10"/>
      <c r="J32" s="10"/>
      <c r="N32" s="8" t="s">
        <v>910</v>
      </c>
    </row>
    <row r="33" spans="1:14" ht="31.5">
      <c r="A33" s="8" t="s">
        <v>43</v>
      </c>
      <c r="B33" s="8" t="s">
        <v>730</v>
      </c>
      <c r="C33" s="51" t="s">
        <v>731</v>
      </c>
      <c r="I33" s="10" t="s">
        <v>732</v>
      </c>
      <c r="J33" s="10"/>
      <c r="K33" s="8" t="s">
        <v>38</v>
      </c>
    </row>
    <row r="34" spans="1:14">
      <c r="A34" s="8" t="s">
        <v>41</v>
      </c>
      <c r="B34" s="8" t="s">
        <v>911</v>
      </c>
      <c r="C34" s="51"/>
      <c r="I34" s="10"/>
      <c r="J34" s="10"/>
      <c r="N34" s="8" t="s">
        <v>906</v>
      </c>
    </row>
    <row r="35" spans="1:14">
      <c r="A35" s="8" t="s">
        <v>132</v>
      </c>
      <c r="B35" s="8" t="s">
        <v>908</v>
      </c>
      <c r="C35" s="60" t="s">
        <v>912</v>
      </c>
      <c r="I35" s="10" t="s">
        <v>909</v>
      </c>
      <c r="J35" s="10"/>
      <c r="K35" s="8" t="s">
        <v>38</v>
      </c>
    </row>
    <row r="36" spans="1:14" ht="94.5">
      <c r="A36" s="8" t="s">
        <v>39</v>
      </c>
      <c r="B36" s="8" t="s">
        <v>308</v>
      </c>
      <c r="C36" s="51"/>
      <c r="I36" s="10" t="s">
        <v>332</v>
      </c>
      <c r="J36" s="10"/>
    </row>
    <row r="37" spans="1:14">
      <c r="A37" s="8" t="s">
        <v>157</v>
      </c>
      <c r="B37" s="8" t="s">
        <v>723</v>
      </c>
      <c r="C37" s="51"/>
      <c r="F37" s="8" t="s">
        <v>759</v>
      </c>
      <c r="I37" s="10"/>
      <c r="J37" s="10"/>
    </row>
    <row r="38" spans="1:14">
      <c r="A38" s="8" t="s">
        <v>157</v>
      </c>
      <c r="B38" s="8" t="s">
        <v>760</v>
      </c>
      <c r="C38" s="51"/>
      <c r="F38" s="8" t="s">
        <v>907</v>
      </c>
      <c r="I38" s="10"/>
      <c r="J38" s="10"/>
    </row>
    <row r="39" spans="1:14">
      <c r="A39" s="8" t="s">
        <v>157</v>
      </c>
      <c r="B39" s="8" t="s">
        <v>762</v>
      </c>
      <c r="C39" s="51"/>
      <c r="F39" s="8" t="s">
        <v>761</v>
      </c>
      <c r="I39" s="10"/>
      <c r="J39" s="10"/>
    </row>
    <row r="40" spans="1:14" ht="105">
      <c r="A40" s="8" t="s">
        <v>291</v>
      </c>
      <c r="B40" s="8" t="s">
        <v>303</v>
      </c>
      <c r="C40" s="44" t="s">
        <v>765</v>
      </c>
      <c r="I40" s="8" t="s">
        <v>306</v>
      </c>
      <c r="K40" s="8" t="s">
        <v>38</v>
      </c>
    </row>
    <row r="41" spans="1:14" ht="30">
      <c r="A41" s="8" t="s">
        <v>43</v>
      </c>
      <c r="B41" s="8" t="s">
        <v>430</v>
      </c>
      <c r="C41" s="44" t="s">
        <v>766</v>
      </c>
      <c r="D41" s="8" t="s">
        <v>304</v>
      </c>
      <c r="I41" s="8" t="s">
        <v>307</v>
      </c>
      <c r="K41" s="8" t="s">
        <v>38</v>
      </c>
    </row>
    <row r="42" spans="1:14" ht="30">
      <c r="A42" s="8" t="s">
        <v>45</v>
      </c>
      <c r="B42" s="8" t="s">
        <v>305</v>
      </c>
      <c r="C42" s="44" t="s">
        <v>767</v>
      </c>
      <c r="I42" s="8" t="s">
        <v>307</v>
      </c>
      <c r="K42" s="8" t="s">
        <v>38</v>
      </c>
    </row>
    <row r="43" spans="1:14">
      <c r="A43" s="8" t="s">
        <v>46</v>
      </c>
      <c r="B43" s="8" t="s">
        <v>308</v>
      </c>
      <c r="C43" s="44"/>
    </row>
    <row r="44" spans="1:14">
      <c r="A44" s="8" t="s">
        <v>39</v>
      </c>
      <c r="B44" s="8" t="s">
        <v>292</v>
      </c>
      <c r="I44" s="8" t="s">
        <v>334</v>
      </c>
    </row>
    <row r="45" spans="1:14">
      <c r="A45" s="8" t="s">
        <v>153</v>
      </c>
      <c r="B45" s="8" t="s">
        <v>716</v>
      </c>
      <c r="N45" s="54" t="s">
        <v>690</v>
      </c>
    </row>
    <row r="46" spans="1:14">
      <c r="A46" s="8" t="s">
        <v>39</v>
      </c>
      <c r="B46" s="8" t="s">
        <v>336</v>
      </c>
    </row>
    <row r="47" spans="1:14">
      <c r="A47" s="8" t="s">
        <v>153</v>
      </c>
      <c r="B47" s="8" t="s">
        <v>689</v>
      </c>
      <c r="N47" s="54" t="s">
        <v>690</v>
      </c>
    </row>
    <row r="48" spans="1:14">
      <c r="A48" s="8" t="s">
        <v>41</v>
      </c>
      <c r="B48" s="8" t="s">
        <v>338</v>
      </c>
      <c r="N48" s="8" t="s">
        <v>878</v>
      </c>
    </row>
    <row r="49" spans="1:14">
      <c r="A49" s="8" t="s">
        <v>41</v>
      </c>
      <c r="B49" s="8" t="s">
        <v>339</v>
      </c>
      <c r="N49" s="8" t="s">
        <v>882</v>
      </c>
    </row>
    <row r="50" spans="1:14" ht="47.25">
      <c r="A50" s="8" t="s">
        <v>291</v>
      </c>
      <c r="B50" s="8" t="s">
        <v>337</v>
      </c>
      <c r="C50" s="9" t="s">
        <v>768</v>
      </c>
      <c r="K50" s="8" t="s">
        <v>38</v>
      </c>
    </row>
    <row r="51" spans="1:14" ht="31.5">
      <c r="A51" s="8" t="s">
        <v>291</v>
      </c>
      <c r="B51" s="8" t="s">
        <v>340</v>
      </c>
      <c r="C51" s="9" t="s">
        <v>769</v>
      </c>
      <c r="I51" s="8" t="s">
        <v>719</v>
      </c>
      <c r="K51" s="8" t="s">
        <v>38</v>
      </c>
    </row>
    <row r="52" spans="1:14" ht="47.25">
      <c r="A52" s="8" t="s">
        <v>341</v>
      </c>
      <c r="B52" s="8" t="s">
        <v>342</v>
      </c>
      <c r="C52" s="9" t="s">
        <v>887</v>
      </c>
      <c r="F52" s="49" t="s">
        <v>343</v>
      </c>
      <c r="I52" s="8" t="s">
        <v>883</v>
      </c>
      <c r="K52" s="8" t="s">
        <v>38</v>
      </c>
    </row>
    <row r="53" spans="1:14">
      <c r="A53" s="8" t="s">
        <v>41</v>
      </c>
      <c r="B53" s="8" t="s">
        <v>884</v>
      </c>
      <c r="F53" s="49"/>
      <c r="N53" s="8" t="s">
        <v>885</v>
      </c>
    </row>
    <row r="54" spans="1:14" ht="31.5">
      <c r="A54" s="8" t="s">
        <v>345</v>
      </c>
      <c r="B54" s="8" t="s">
        <v>346</v>
      </c>
      <c r="C54" s="9" t="s">
        <v>347</v>
      </c>
      <c r="F54" s="52" t="s">
        <v>886</v>
      </c>
      <c r="I54" s="8" t="s">
        <v>889</v>
      </c>
      <c r="K54" s="8" t="s">
        <v>38</v>
      </c>
    </row>
    <row r="55" spans="1:14" ht="63">
      <c r="A55" s="8" t="s">
        <v>45</v>
      </c>
      <c r="B55" s="8" t="s">
        <v>348</v>
      </c>
      <c r="C55" s="9" t="s">
        <v>770</v>
      </c>
      <c r="D55" s="8" t="s">
        <v>349</v>
      </c>
      <c r="I55" s="8" t="s">
        <v>888</v>
      </c>
      <c r="K55" s="8" t="s">
        <v>38</v>
      </c>
    </row>
    <row r="56" spans="1:14" ht="31.5">
      <c r="A56" s="8" t="s">
        <v>350</v>
      </c>
      <c r="B56" s="8" t="s">
        <v>352</v>
      </c>
      <c r="C56" s="9" t="s">
        <v>774</v>
      </c>
      <c r="K56" s="8" t="s">
        <v>38</v>
      </c>
    </row>
    <row r="57" spans="1:14" ht="78.75">
      <c r="A57" s="8" t="s">
        <v>291</v>
      </c>
      <c r="B57" s="8" t="s">
        <v>353</v>
      </c>
      <c r="C57" s="9" t="s">
        <v>775</v>
      </c>
      <c r="K57" s="8" t="s">
        <v>38</v>
      </c>
    </row>
    <row r="58" spans="1:14" ht="31.5">
      <c r="A58" s="8" t="s">
        <v>43</v>
      </c>
      <c r="B58" s="8" t="s">
        <v>354</v>
      </c>
      <c r="C58" s="9" t="s">
        <v>355</v>
      </c>
      <c r="D58" s="8" t="s">
        <v>734</v>
      </c>
      <c r="I58" s="8" t="s">
        <v>720</v>
      </c>
      <c r="K58" s="8" t="s">
        <v>38</v>
      </c>
    </row>
    <row r="59" spans="1:14" ht="31.5">
      <c r="A59" s="8" t="s">
        <v>291</v>
      </c>
      <c r="B59" s="8" t="s">
        <v>356</v>
      </c>
      <c r="C59" s="9" t="s">
        <v>776</v>
      </c>
      <c r="K59" s="8" t="s">
        <v>38</v>
      </c>
    </row>
    <row r="60" spans="1:14" ht="110.25">
      <c r="A60" s="8" t="s">
        <v>43</v>
      </c>
      <c r="B60" s="8" t="s">
        <v>357</v>
      </c>
      <c r="C60" s="9" t="s">
        <v>358</v>
      </c>
      <c r="G60" s="8" t="s">
        <v>359</v>
      </c>
      <c r="H60" s="10" t="s">
        <v>360</v>
      </c>
      <c r="I60" s="8" t="s">
        <v>721</v>
      </c>
      <c r="K60" s="8" t="s">
        <v>38</v>
      </c>
    </row>
    <row r="61" spans="1:14" ht="63">
      <c r="A61" s="8" t="s">
        <v>43</v>
      </c>
      <c r="B61" s="8" t="s">
        <v>777</v>
      </c>
      <c r="C61" s="9" t="s">
        <v>778</v>
      </c>
      <c r="D61" s="8" t="s">
        <v>779</v>
      </c>
      <c r="K61" s="8" t="s">
        <v>38</v>
      </c>
    </row>
    <row r="62" spans="1:14">
      <c r="A62" s="8" t="s">
        <v>153</v>
      </c>
      <c r="B62" s="8" t="s">
        <v>691</v>
      </c>
      <c r="N62" s="54" t="s">
        <v>690</v>
      </c>
    </row>
    <row r="63" spans="1:14">
      <c r="A63" s="8" t="s">
        <v>41</v>
      </c>
      <c r="B63" s="8" t="s">
        <v>694</v>
      </c>
      <c r="N63" s="54" t="s">
        <v>696</v>
      </c>
    </row>
    <row r="64" spans="1:14">
      <c r="A64" s="8" t="s">
        <v>46</v>
      </c>
      <c r="B64" s="8" t="s">
        <v>336</v>
      </c>
    </row>
    <row r="65" spans="1:14">
      <c r="A65" s="8" t="s">
        <v>39</v>
      </c>
      <c r="B65" s="8" t="s">
        <v>387</v>
      </c>
    </row>
    <row r="66" spans="1:14">
      <c r="A66" s="8" t="s">
        <v>153</v>
      </c>
      <c r="B66" s="8" t="s">
        <v>698</v>
      </c>
      <c r="N66" s="54" t="s">
        <v>690</v>
      </c>
    </row>
    <row r="67" spans="1:14" ht="78.75">
      <c r="A67" s="8" t="s">
        <v>291</v>
      </c>
      <c r="B67" s="8" t="s">
        <v>388</v>
      </c>
      <c r="C67" s="9" t="s">
        <v>785</v>
      </c>
      <c r="K67" s="8" t="s">
        <v>38</v>
      </c>
    </row>
    <row r="68" spans="1:14" ht="31.5">
      <c r="A68" s="8" t="s">
        <v>43</v>
      </c>
      <c r="B68" s="8" t="s">
        <v>389</v>
      </c>
      <c r="C68" s="9" t="s">
        <v>390</v>
      </c>
      <c r="G68" s="8" t="s">
        <v>391</v>
      </c>
      <c r="H68" s="10" t="s">
        <v>392</v>
      </c>
      <c r="I68" s="8" t="s">
        <v>393</v>
      </c>
      <c r="K68" s="8" t="s">
        <v>38</v>
      </c>
    </row>
    <row r="69" spans="1:14">
      <c r="A69" s="8" t="s">
        <v>404</v>
      </c>
      <c r="B69" s="8" t="s">
        <v>394</v>
      </c>
      <c r="C69" s="9" t="s">
        <v>786</v>
      </c>
      <c r="K69" s="8" t="s">
        <v>38</v>
      </c>
    </row>
    <row r="70" spans="1:14">
      <c r="A70" s="8" t="s">
        <v>406</v>
      </c>
      <c r="B70" s="8" t="s">
        <v>407</v>
      </c>
      <c r="C70" s="9" t="s">
        <v>787</v>
      </c>
      <c r="I70" s="8" t="s">
        <v>393</v>
      </c>
      <c r="K70" s="8" t="s">
        <v>38</v>
      </c>
    </row>
    <row r="71" spans="1:14">
      <c r="A71" s="8" t="s">
        <v>410</v>
      </c>
      <c r="B71" s="8" t="s">
        <v>411</v>
      </c>
      <c r="C71" s="9" t="s">
        <v>788</v>
      </c>
      <c r="I71" s="8" t="s">
        <v>393</v>
      </c>
      <c r="K71" s="8" t="s">
        <v>38</v>
      </c>
    </row>
    <row r="72" spans="1:14">
      <c r="A72" s="8" t="s">
        <v>43</v>
      </c>
      <c r="B72" s="8" t="s">
        <v>415</v>
      </c>
      <c r="C72" s="9" t="s">
        <v>416</v>
      </c>
      <c r="I72" s="8" t="s">
        <v>417</v>
      </c>
      <c r="K72" s="8" t="s">
        <v>38</v>
      </c>
    </row>
    <row r="73" spans="1:14" ht="47.25">
      <c r="A73" s="8" t="s">
        <v>132</v>
      </c>
      <c r="B73" s="8" t="s">
        <v>418</v>
      </c>
      <c r="C73" s="9" t="s">
        <v>789</v>
      </c>
      <c r="G73" s="8" t="s">
        <v>419</v>
      </c>
      <c r="H73" s="10" t="s">
        <v>420</v>
      </c>
      <c r="I73" s="8" t="s">
        <v>393</v>
      </c>
      <c r="K73" s="8" t="s">
        <v>38</v>
      </c>
    </row>
    <row r="74" spans="1:14">
      <c r="A74" s="8" t="s">
        <v>41</v>
      </c>
      <c r="B74" s="8" t="s">
        <v>421</v>
      </c>
      <c r="N74" s="8" t="s">
        <v>891</v>
      </c>
    </row>
    <row r="75" spans="1:14" ht="31.5">
      <c r="A75" s="8" t="s">
        <v>291</v>
      </c>
      <c r="B75" s="8" t="s">
        <v>431</v>
      </c>
      <c r="C75" s="9" t="s">
        <v>432</v>
      </c>
      <c r="D75" s="8" t="s">
        <v>433</v>
      </c>
      <c r="K75" s="8" t="s">
        <v>38</v>
      </c>
    </row>
    <row r="76" spans="1:14" ht="47.25">
      <c r="A76" s="8" t="s">
        <v>45</v>
      </c>
      <c r="B76" s="8" t="s">
        <v>465</v>
      </c>
      <c r="C76" s="9" t="s">
        <v>435</v>
      </c>
      <c r="D76" s="8" t="s">
        <v>743</v>
      </c>
      <c r="G76" s="8" t="s">
        <v>742</v>
      </c>
      <c r="H76" s="10" t="s">
        <v>436</v>
      </c>
      <c r="I76" s="8" t="s">
        <v>434</v>
      </c>
      <c r="K76" s="8" t="s">
        <v>38</v>
      </c>
    </row>
    <row r="77" spans="1:14">
      <c r="A77" s="8" t="s">
        <v>153</v>
      </c>
      <c r="B77" s="8" t="s">
        <v>699</v>
      </c>
      <c r="N77" s="54" t="s">
        <v>690</v>
      </c>
    </row>
    <row r="78" spans="1:14">
      <c r="A78" s="8" t="s">
        <v>41</v>
      </c>
      <c r="B78" s="8" t="s">
        <v>700</v>
      </c>
      <c r="N78" s="8" t="s">
        <v>701</v>
      </c>
    </row>
    <row r="79" spans="1:14">
      <c r="A79" s="8" t="s">
        <v>46</v>
      </c>
      <c r="B79" s="8" t="s">
        <v>387</v>
      </c>
    </row>
    <row r="80" spans="1:14">
      <c r="A80" s="8" t="s">
        <v>39</v>
      </c>
      <c r="B80" s="8" t="s">
        <v>361</v>
      </c>
    </row>
    <row r="81" spans="1:14">
      <c r="A81" s="8" t="s">
        <v>153</v>
      </c>
      <c r="B81" s="8" t="s">
        <v>692</v>
      </c>
      <c r="N81" s="54" t="s">
        <v>690</v>
      </c>
    </row>
    <row r="82" spans="1:14" ht="31.5">
      <c r="A82" s="8" t="s">
        <v>790</v>
      </c>
      <c r="B82" s="8" t="s">
        <v>791</v>
      </c>
      <c r="C82" s="9" t="s">
        <v>798</v>
      </c>
      <c r="K82" s="8" t="s">
        <v>38</v>
      </c>
      <c r="N82" s="54"/>
    </row>
    <row r="83" spans="1:14" ht="63">
      <c r="A83" s="8" t="s">
        <v>362</v>
      </c>
      <c r="B83" s="8" t="s">
        <v>363</v>
      </c>
      <c r="C83" s="9" t="s">
        <v>799</v>
      </c>
      <c r="I83" s="8" t="s">
        <v>800</v>
      </c>
      <c r="K83" s="8" t="s">
        <v>38</v>
      </c>
    </row>
    <row r="84" spans="1:14" ht="31.5">
      <c r="A84" s="8" t="s">
        <v>368</v>
      </c>
      <c r="B84" s="8" t="s">
        <v>369</v>
      </c>
      <c r="C84" s="9" t="s">
        <v>801</v>
      </c>
      <c r="I84" s="8" t="s">
        <v>800</v>
      </c>
      <c r="K84" s="8" t="s">
        <v>38</v>
      </c>
    </row>
    <row r="85" spans="1:14" ht="31.5">
      <c r="A85" s="8" t="s">
        <v>291</v>
      </c>
      <c r="B85" s="8" t="s">
        <v>377</v>
      </c>
      <c r="C85" s="9" t="s">
        <v>803</v>
      </c>
      <c r="I85" s="8" t="s">
        <v>802</v>
      </c>
      <c r="K85" s="8" t="s">
        <v>38</v>
      </c>
    </row>
    <row r="86" spans="1:14" ht="31.5">
      <c r="A86" s="8" t="s">
        <v>378</v>
      </c>
      <c r="B86" s="8" t="s">
        <v>379</v>
      </c>
      <c r="C86" s="9" t="s">
        <v>804</v>
      </c>
      <c r="I86" s="8" t="s">
        <v>386</v>
      </c>
      <c r="K86" s="8" t="s">
        <v>38</v>
      </c>
    </row>
    <row r="87" spans="1:14">
      <c r="A87" s="8" t="s">
        <v>153</v>
      </c>
      <c r="B87" s="8" t="s">
        <v>693</v>
      </c>
      <c r="N87" s="54" t="s">
        <v>690</v>
      </c>
    </row>
    <row r="88" spans="1:14">
      <c r="A88" s="8" t="s">
        <v>41</v>
      </c>
      <c r="B88" s="8" t="s">
        <v>695</v>
      </c>
      <c r="N88" s="54" t="s">
        <v>697</v>
      </c>
    </row>
    <row r="89" spans="1:14">
      <c r="A89" s="8" t="s">
        <v>46</v>
      </c>
      <c r="B89" s="8" t="s">
        <v>361</v>
      </c>
    </row>
    <row r="90" spans="1:14">
      <c r="A90" s="8" t="s">
        <v>39</v>
      </c>
      <c r="B90" s="8" t="s">
        <v>525</v>
      </c>
    </row>
    <row r="91" spans="1:14">
      <c r="A91" s="8" t="s">
        <v>153</v>
      </c>
      <c r="B91" s="8" t="s">
        <v>702</v>
      </c>
      <c r="N91" s="54" t="s">
        <v>690</v>
      </c>
    </row>
    <row r="92" spans="1:14" ht="47.25">
      <c r="A92" s="8" t="s">
        <v>291</v>
      </c>
      <c r="B92" s="8" t="s">
        <v>526</v>
      </c>
      <c r="C92" s="9" t="s">
        <v>805</v>
      </c>
      <c r="K92" s="8" t="s">
        <v>38</v>
      </c>
    </row>
    <row r="93" spans="1:14" ht="47.25">
      <c r="A93" s="8" t="s">
        <v>527</v>
      </c>
      <c r="B93" s="8" t="s">
        <v>528</v>
      </c>
      <c r="C93" s="9" t="s">
        <v>809</v>
      </c>
      <c r="K93" s="8" t="s">
        <v>38</v>
      </c>
    </row>
    <row r="94" spans="1:14" ht="31.5">
      <c r="A94" s="8" t="s">
        <v>291</v>
      </c>
      <c r="B94" s="8" t="s">
        <v>533</v>
      </c>
      <c r="C94" s="9" t="s">
        <v>810</v>
      </c>
      <c r="K94" s="8" t="s">
        <v>38</v>
      </c>
    </row>
    <row r="95" spans="1:14" ht="47.25">
      <c r="A95" s="8" t="s">
        <v>534</v>
      </c>
      <c r="B95" s="8" t="s">
        <v>535</v>
      </c>
      <c r="C95" s="9" t="s">
        <v>811</v>
      </c>
      <c r="K95" s="8" t="s">
        <v>38</v>
      </c>
    </row>
    <row r="96" spans="1:14">
      <c r="A96" s="8" t="s">
        <v>43</v>
      </c>
      <c r="B96" s="8" t="s">
        <v>538</v>
      </c>
      <c r="C96" s="9" t="s">
        <v>539</v>
      </c>
      <c r="I96" s="8" t="s">
        <v>808</v>
      </c>
      <c r="K96" s="8" t="s">
        <v>38</v>
      </c>
    </row>
    <row r="97" spans="1:11">
      <c r="A97" s="8" t="s">
        <v>39</v>
      </c>
      <c r="B97" s="8" t="s">
        <v>540</v>
      </c>
      <c r="F97" s="8" t="s">
        <v>327</v>
      </c>
    </row>
    <row r="98" spans="1:11" ht="299.25">
      <c r="A98" s="8" t="s">
        <v>36</v>
      </c>
      <c r="B98" s="8" t="s">
        <v>541</v>
      </c>
      <c r="C98" s="9" t="s">
        <v>812</v>
      </c>
    </row>
    <row r="99" spans="1:11">
      <c r="A99" s="8" t="s">
        <v>542</v>
      </c>
      <c r="B99" s="8" t="s">
        <v>544</v>
      </c>
      <c r="C99" s="9" t="s">
        <v>545</v>
      </c>
      <c r="D99" s="8" t="s">
        <v>546</v>
      </c>
      <c r="F99" s="8" t="s">
        <v>99</v>
      </c>
      <c r="K99" s="8" t="s">
        <v>38</v>
      </c>
    </row>
    <row r="100" spans="1:11">
      <c r="A100" s="8" t="s">
        <v>542</v>
      </c>
      <c r="B100" s="8" t="s">
        <v>547</v>
      </c>
      <c r="C100" s="9" t="s">
        <v>548</v>
      </c>
      <c r="D100" s="8" t="s">
        <v>569</v>
      </c>
      <c r="F100" s="8" t="s">
        <v>99</v>
      </c>
      <c r="K100" s="8" t="s">
        <v>38</v>
      </c>
    </row>
    <row r="101" spans="1:11">
      <c r="A101" s="8" t="s">
        <v>542</v>
      </c>
      <c r="B101" s="8" t="s">
        <v>549</v>
      </c>
      <c r="C101" s="9" t="s">
        <v>550</v>
      </c>
      <c r="D101" s="8" t="s">
        <v>551</v>
      </c>
      <c r="F101" s="8" t="s">
        <v>99</v>
      </c>
      <c r="K101" s="8" t="s">
        <v>38</v>
      </c>
    </row>
    <row r="102" spans="1:11">
      <c r="A102" s="8" t="s">
        <v>542</v>
      </c>
      <c r="B102" s="8" t="s">
        <v>552</v>
      </c>
      <c r="C102" s="9" t="s">
        <v>553</v>
      </c>
      <c r="D102" s="8" t="s">
        <v>570</v>
      </c>
      <c r="F102" s="8" t="s">
        <v>99</v>
      </c>
      <c r="K102" s="8" t="s">
        <v>38</v>
      </c>
    </row>
    <row r="103" spans="1:11">
      <c r="A103" s="8" t="s">
        <v>542</v>
      </c>
      <c r="B103" s="8" t="s">
        <v>554</v>
      </c>
      <c r="C103" s="9" t="s">
        <v>555</v>
      </c>
      <c r="D103" s="8" t="s">
        <v>556</v>
      </c>
      <c r="F103" s="8" t="s">
        <v>99</v>
      </c>
      <c r="K103" s="8" t="s">
        <v>38</v>
      </c>
    </row>
    <row r="104" spans="1:11" ht="63">
      <c r="A104" s="8" t="s">
        <v>36</v>
      </c>
      <c r="B104" s="8" t="s">
        <v>735</v>
      </c>
      <c r="C104" s="9" t="s">
        <v>736</v>
      </c>
    </row>
    <row r="105" spans="1:11">
      <c r="A105" s="8" t="s">
        <v>542</v>
      </c>
      <c r="B105" s="8" t="s">
        <v>557</v>
      </c>
      <c r="C105" s="9" t="s">
        <v>558</v>
      </c>
      <c r="D105" s="8" t="s">
        <v>559</v>
      </c>
      <c r="F105" s="8" t="s">
        <v>99</v>
      </c>
      <c r="K105" s="8" t="s">
        <v>38</v>
      </c>
    </row>
    <row r="106" spans="1:11">
      <c r="A106" s="8" t="s">
        <v>542</v>
      </c>
      <c r="B106" s="8" t="s">
        <v>560</v>
      </c>
      <c r="C106" s="9" t="s">
        <v>561</v>
      </c>
      <c r="D106" s="8" t="s">
        <v>562</v>
      </c>
      <c r="F106" s="8" t="s">
        <v>99</v>
      </c>
      <c r="K106" s="8" t="s">
        <v>38</v>
      </c>
    </row>
    <row r="107" spans="1:11">
      <c r="A107" s="8" t="s">
        <v>542</v>
      </c>
      <c r="B107" s="8" t="s">
        <v>563</v>
      </c>
      <c r="C107" s="9" t="s">
        <v>564</v>
      </c>
      <c r="D107" s="8" t="s">
        <v>565</v>
      </c>
      <c r="F107" s="8" t="s">
        <v>99</v>
      </c>
      <c r="K107" s="8" t="s">
        <v>38</v>
      </c>
    </row>
    <row r="108" spans="1:11">
      <c r="A108" s="8" t="s">
        <v>542</v>
      </c>
      <c r="B108" s="8" t="s">
        <v>566</v>
      </c>
      <c r="C108" s="9" t="s">
        <v>567</v>
      </c>
      <c r="D108" s="8" t="s">
        <v>568</v>
      </c>
      <c r="F108" s="8" t="s">
        <v>99</v>
      </c>
      <c r="K108" s="8" t="s">
        <v>38</v>
      </c>
    </row>
    <row r="109" spans="1:11">
      <c r="A109" s="8" t="s">
        <v>46</v>
      </c>
      <c r="B109" s="8" t="s">
        <v>540</v>
      </c>
    </row>
    <row r="110" spans="1:11">
      <c r="A110" s="8" t="s">
        <v>39</v>
      </c>
      <c r="B110" s="8" t="s">
        <v>579</v>
      </c>
      <c r="F110" s="8" t="s">
        <v>327</v>
      </c>
    </row>
    <row r="111" spans="1:11" ht="220.5">
      <c r="A111" s="8" t="s">
        <v>36</v>
      </c>
      <c r="B111" s="8" t="s">
        <v>580</v>
      </c>
      <c r="C111" s="9" t="s">
        <v>586</v>
      </c>
    </row>
    <row r="112" spans="1:11" ht="63">
      <c r="A112" s="8" t="s">
        <v>542</v>
      </c>
      <c r="B112" s="8" t="s">
        <v>581</v>
      </c>
      <c r="C112" s="9" t="s">
        <v>813</v>
      </c>
      <c r="F112" s="8" t="s">
        <v>99</v>
      </c>
      <c r="K112" s="8" t="s">
        <v>38</v>
      </c>
    </row>
    <row r="113" spans="1:14" ht="63">
      <c r="A113" s="8" t="s">
        <v>542</v>
      </c>
      <c r="B113" s="8" t="s">
        <v>582</v>
      </c>
      <c r="C113" s="9" t="s">
        <v>814</v>
      </c>
      <c r="F113" s="8" t="s">
        <v>99</v>
      </c>
      <c r="K113" s="8" t="s">
        <v>38</v>
      </c>
    </row>
    <row r="114" spans="1:14" ht="47.25">
      <c r="A114" s="8" t="s">
        <v>542</v>
      </c>
      <c r="B114" s="8" t="s">
        <v>583</v>
      </c>
      <c r="C114" s="9" t="s">
        <v>815</v>
      </c>
      <c r="F114" s="8" t="s">
        <v>99</v>
      </c>
      <c r="K114" s="8" t="s">
        <v>38</v>
      </c>
    </row>
    <row r="115" spans="1:14" ht="78.75">
      <c r="A115" s="8" t="s">
        <v>542</v>
      </c>
      <c r="B115" s="8" t="s">
        <v>584</v>
      </c>
      <c r="C115" s="9" t="s">
        <v>816</v>
      </c>
      <c r="F115" s="8" t="s">
        <v>99</v>
      </c>
      <c r="K115" s="8" t="s">
        <v>38</v>
      </c>
    </row>
    <row r="116" spans="1:14" ht="47.25">
      <c r="A116" s="8" t="s">
        <v>542</v>
      </c>
      <c r="B116" s="8" t="s">
        <v>585</v>
      </c>
      <c r="C116" s="9" t="s">
        <v>817</v>
      </c>
      <c r="F116" s="8" t="s">
        <v>99</v>
      </c>
      <c r="K116" s="8" t="s">
        <v>38</v>
      </c>
    </row>
    <row r="117" spans="1:14">
      <c r="A117" s="8" t="s">
        <v>46</v>
      </c>
      <c r="B117" s="8" t="s">
        <v>579</v>
      </c>
    </row>
    <row r="118" spans="1:14" ht="47.25">
      <c r="A118" s="8" t="s">
        <v>291</v>
      </c>
      <c r="B118" s="8" t="s">
        <v>591</v>
      </c>
      <c r="C118" s="9" t="s">
        <v>818</v>
      </c>
      <c r="K118" s="8" t="s">
        <v>38</v>
      </c>
    </row>
    <row r="119" spans="1:14" ht="31.5">
      <c r="A119" s="8" t="s">
        <v>592</v>
      </c>
      <c r="B119" s="8" t="s">
        <v>593</v>
      </c>
      <c r="C119" s="9" t="s">
        <v>819</v>
      </c>
      <c r="I119" s="8" t="s">
        <v>942</v>
      </c>
      <c r="K119" s="8" t="s">
        <v>38</v>
      </c>
    </row>
    <row r="120" spans="1:14" ht="47.25">
      <c r="A120" s="8" t="s">
        <v>291</v>
      </c>
      <c r="B120" s="8" t="s">
        <v>594</v>
      </c>
      <c r="C120" s="9" t="s">
        <v>820</v>
      </c>
      <c r="K120" s="8" t="s">
        <v>38</v>
      </c>
    </row>
    <row r="121" spans="1:14" ht="31.5">
      <c r="A121" s="8" t="s">
        <v>592</v>
      </c>
      <c r="B121" s="8" t="s">
        <v>595</v>
      </c>
      <c r="C121" s="9" t="s">
        <v>821</v>
      </c>
      <c r="I121" s="8" t="s">
        <v>943</v>
      </c>
      <c r="K121" s="8" t="s">
        <v>38</v>
      </c>
    </row>
    <row r="122" spans="1:14" ht="47.25">
      <c r="A122" s="8" t="s">
        <v>291</v>
      </c>
      <c r="B122" s="8" t="s">
        <v>596</v>
      </c>
      <c r="C122" s="9" t="s">
        <v>822</v>
      </c>
      <c r="K122" s="8" t="s">
        <v>38</v>
      </c>
    </row>
    <row r="123" spans="1:14" ht="31.5">
      <c r="A123" s="8" t="s">
        <v>592</v>
      </c>
      <c r="B123" s="8" t="s">
        <v>597</v>
      </c>
      <c r="C123" s="9" t="s">
        <v>823</v>
      </c>
      <c r="I123" s="8" t="s">
        <v>944</v>
      </c>
      <c r="K123" s="8" t="s">
        <v>38</v>
      </c>
    </row>
    <row r="124" spans="1:14">
      <c r="A124" s="8" t="s">
        <v>153</v>
      </c>
      <c r="B124" s="8" t="s">
        <v>703</v>
      </c>
      <c r="N124" s="54" t="s">
        <v>690</v>
      </c>
    </row>
    <row r="125" spans="1:14">
      <c r="A125" s="8" t="s">
        <v>41</v>
      </c>
      <c r="B125" s="8" t="s">
        <v>704</v>
      </c>
      <c r="N125" s="8" t="s">
        <v>705</v>
      </c>
    </row>
    <row r="126" spans="1:14">
      <c r="A126" s="8" t="s">
        <v>46</v>
      </c>
      <c r="B126" s="8" t="s">
        <v>525</v>
      </c>
    </row>
    <row r="127" spans="1:14">
      <c r="A127" s="8" t="s">
        <v>39</v>
      </c>
      <c r="B127" s="8" t="s">
        <v>466</v>
      </c>
    </row>
    <row r="128" spans="1:14">
      <c r="A128" s="8" t="s">
        <v>153</v>
      </c>
      <c r="B128" s="8" t="s">
        <v>706</v>
      </c>
      <c r="N128" s="54" t="s">
        <v>690</v>
      </c>
    </row>
    <row r="129" spans="1:11" ht="63">
      <c r="A129" s="8" t="s">
        <v>467</v>
      </c>
      <c r="B129" s="8" t="s">
        <v>468</v>
      </c>
      <c r="C129" s="9" t="s">
        <v>824</v>
      </c>
      <c r="K129" s="8" t="s">
        <v>38</v>
      </c>
    </row>
    <row r="130" spans="1:11">
      <c r="A130" s="8" t="s">
        <v>39</v>
      </c>
      <c r="B130" s="8" t="s">
        <v>481</v>
      </c>
      <c r="F130" s="8" t="s">
        <v>327</v>
      </c>
    </row>
    <row r="131" spans="1:11" ht="94.5">
      <c r="A131" s="8" t="s">
        <v>36</v>
      </c>
      <c r="B131" s="8" t="s">
        <v>482</v>
      </c>
      <c r="C131" s="9" t="s">
        <v>825</v>
      </c>
    </row>
    <row r="132" spans="1:11" ht="47.25">
      <c r="A132" s="8" t="s">
        <v>484</v>
      </c>
      <c r="B132" s="8" t="s">
        <v>486</v>
      </c>
      <c r="C132" s="9" t="s">
        <v>501</v>
      </c>
      <c r="K132" s="8" t="s">
        <v>38</v>
      </c>
    </row>
    <row r="133" spans="1:11">
      <c r="A133" s="8" t="s">
        <v>484</v>
      </c>
      <c r="B133" s="8" t="s">
        <v>487</v>
      </c>
      <c r="C133" s="9" t="s">
        <v>502</v>
      </c>
      <c r="K133" s="8" t="s">
        <v>38</v>
      </c>
    </row>
    <row r="134" spans="1:11">
      <c r="A134" s="8" t="s">
        <v>484</v>
      </c>
      <c r="B134" s="8" t="s">
        <v>488</v>
      </c>
      <c r="C134" s="9" t="s">
        <v>503</v>
      </c>
      <c r="K134" s="8" t="s">
        <v>38</v>
      </c>
    </row>
    <row r="135" spans="1:11" ht="31.5">
      <c r="A135" s="8" t="s">
        <v>484</v>
      </c>
      <c r="B135" s="8" t="s">
        <v>489</v>
      </c>
      <c r="C135" s="9" t="s">
        <v>504</v>
      </c>
      <c r="K135" s="8" t="s">
        <v>38</v>
      </c>
    </row>
    <row r="136" spans="1:11" ht="47.25">
      <c r="A136" s="8" t="s">
        <v>484</v>
      </c>
      <c r="B136" s="8" t="s">
        <v>490</v>
      </c>
      <c r="C136" s="9" t="s">
        <v>505</v>
      </c>
      <c r="K136" s="8" t="s">
        <v>38</v>
      </c>
    </row>
    <row r="137" spans="1:11" ht="94.5">
      <c r="A137" s="8" t="s">
        <v>36</v>
      </c>
      <c r="B137" s="8" t="s">
        <v>727</v>
      </c>
      <c r="C137" s="9" t="s">
        <v>483</v>
      </c>
    </row>
    <row r="138" spans="1:11">
      <c r="A138" s="8" t="s">
        <v>484</v>
      </c>
      <c r="B138" s="8" t="s">
        <v>491</v>
      </c>
      <c r="C138" s="9" t="s">
        <v>506</v>
      </c>
      <c r="K138" s="8" t="s">
        <v>38</v>
      </c>
    </row>
    <row r="139" spans="1:11" ht="31.5">
      <c r="A139" s="8" t="s">
        <v>484</v>
      </c>
      <c r="B139" s="8" t="s">
        <v>492</v>
      </c>
      <c r="C139" s="9" t="s">
        <v>507</v>
      </c>
      <c r="K139" s="8" t="s">
        <v>38</v>
      </c>
    </row>
    <row r="140" spans="1:11" ht="31.5">
      <c r="A140" s="8" t="s">
        <v>484</v>
      </c>
      <c r="B140" s="8" t="s">
        <v>493</v>
      </c>
      <c r="C140" s="9" t="s">
        <v>508</v>
      </c>
      <c r="K140" s="8" t="s">
        <v>38</v>
      </c>
    </row>
    <row r="141" spans="1:11" ht="31.5">
      <c r="A141" s="8" t="s">
        <v>484</v>
      </c>
      <c r="B141" s="8" t="s">
        <v>494</v>
      </c>
      <c r="C141" s="9" t="s">
        <v>509</v>
      </c>
      <c r="K141" s="8" t="s">
        <v>38</v>
      </c>
    </row>
    <row r="142" spans="1:11" ht="31.5">
      <c r="A142" s="8" t="s">
        <v>484</v>
      </c>
      <c r="B142" s="8" t="s">
        <v>495</v>
      </c>
      <c r="C142" s="9" t="s">
        <v>510</v>
      </c>
      <c r="K142" s="8" t="s">
        <v>38</v>
      </c>
    </row>
    <row r="143" spans="1:11" ht="94.5">
      <c r="A143" s="8" t="s">
        <v>36</v>
      </c>
      <c r="B143" s="8" t="s">
        <v>728</v>
      </c>
      <c r="C143" s="9" t="s">
        <v>483</v>
      </c>
    </row>
    <row r="144" spans="1:11">
      <c r="A144" s="8" t="s">
        <v>484</v>
      </c>
      <c r="B144" s="8" t="s">
        <v>496</v>
      </c>
      <c r="C144" s="9" t="s">
        <v>511</v>
      </c>
      <c r="K144" s="8" t="s">
        <v>38</v>
      </c>
    </row>
    <row r="145" spans="1:14" ht="31.5">
      <c r="A145" s="8" t="s">
        <v>484</v>
      </c>
      <c r="B145" s="8" t="s">
        <v>497</v>
      </c>
      <c r="C145" s="9" t="s">
        <v>512</v>
      </c>
      <c r="K145" s="8" t="s">
        <v>38</v>
      </c>
    </row>
    <row r="146" spans="1:14" ht="31.5">
      <c r="A146" s="8" t="s">
        <v>484</v>
      </c>
      <c r="B146" s="8" t="s">
        <v>498</v>
      </c>
      <c r="C146" s="9" t="s">
        <v>513</v>
      </c>
      <c r="K146" s="8" t="s">
        <v>38</v>
      </c>
    </row>
    <row r="147" spans="1:14" ht="31.5">
      <c r="A147" s="8" t="s">
        <v>484</v>
      </c>
      <c r="B147" s="8" t="s">
        <v>499</v>
      </c>
      <c r="C147" s="9" t="s">
        <v>514</v>
      </c>
      <c r="K147" s="8" t="s">
        <v>38</v>
      </c>
    </row>
    <row r="148" spans="1:14" ht="31.5">
      <c r="A148" s="8" t="s">
        <v>484</v>
      </c>
      <c r="B148" s="8" t="s">
        <v>500</v>
      </c>
      <c r="C148" s="9" t="s">
        <v>515</v>
      </c>
      <c r="K148" s="8" t="s">
        <v>38</v>
      </c>
    </row>
    <row r="149" spans="1:14">
      <c r="A149" s="8" t="s">
        <v>46</v>
      </c>
      <c r="B149" s="8" t="s">
        <v>481</v>
      </c>
    </row>
    <row r="150" spans="1:14">
      <c r="A150" s="8" t="s">
        <v>153</v>
      </c>
      <c r="B150" s="8" t="s">
        <v>707</v>
      </c>
      <c r="N150" s="54" t="s">
        <v>690</v>
      </c>
    </row>
    <row r="151" spans="1:14">
      <c r="A151" s="8" t="s">
        <v>41</v>
      </c>
      <c r="B151" s="8" t="s">
        <v>708</v>
      </c>
      <c r="N151" s="8" t="s">
        <v>709</v>
      </c>
    </row>
    <row r="152" spans="1:14">
      <c r="A152" s="8" t="s">
        <v>46</v>
      </c>
      <c r="B152" s="8" t="s">
        <v>466</v>
      </c>
    </row>
    <row r="153" spans="1:14">
      <c r="A153" s="8" t="s">
        <v>39</v>
      </c>
      <c r="B153" s="8" t="s">
        <v>626</v>
      </c>
    </row>
    <row r="154" spans="1:14">
      <c r="A154" s="8" t="s">
        <v>153</v>
      </c>
      <c r="B154" s="8" t="s">
        <v>710</v>
      </c>
      <c r="N154" s="54" t="s">
        <v>690</v>
      </c>
    </row>
    <row r="155" spans="1:14" ht="47.25">
      <c r="A155" s="8" t="s">
        <v>627</v>
      </c>
      <c r="B155" s="8" t="s">
        <v>628</v>
      </c>
      <c r="C155" s="9" t="s">
        <v>842</v>
      </c>
      <c r="K155" s="8" t="s">
        <v>38</v>
      </c>
    </row>
    <row r="156" spans="1:14" ht="47.25">
      <c r="A156" s="8" t="s">
        <v>629</v>
      </c>
      <c r="B156" s="8" t="s">
        <v>630</v>
      </c>
      <c r="C156" s="9" t="s">
        <v>843</v>
      </c>
      <c r="K156" s="8" t="s">
        <v>38</v>
      </c>
    </row>
    <row r="157" spans="1:14" ht="31.5">
      <c r="A157" s="8" t="s">
        <v>45</v>
      </c>
      <c r="B157" s="8" t="s">
        <v>631</v>
      </c>
      <c r="C157" s="9" t="s">
        <v>844</v>
      </c>
      <c r="D157" s="8" t="s">
        <v>738</v>
      </c>
      <c r="G157" s="8" t="s">
        <v>683</v>
      </c>
      <c r="K157" s="8" t="s">
        <v>38</v>
      </c>
    </row>
    <row r="158" spans="1:14">
      <c r="A158" s="8" t="s">
        <v>632</v>
      </c>
      <c r="B158" s="8" t="s">
        <v>633</v>
      </c>
      <c r="C158" s="9" t="s">
        <v>845</v>
      </c>
      <c r="K158" s="8" t="s">
        <v>38</v>
      </c>
    </row>
    <row r="159" spans="1:14" ht="47.25">
      <c r="A159" s="8" t="s">
        <v>634</v>
      </c>
      <c r="B159" s="8" t="s">
        <v>635</v>
      </c>
      <c r="C159" s="9" t="s">
        <v>846</v>
      </c>
      <c r="D159" s="8" t="s">
        <v>636</v>
      </c>
      <c r="K159" s="8" t="s">
        <v>38</v>
      </c>
    </row>
    <row r="160" spans="1:14" ht="78.75">
      <c r="A160" s="8" t="s">
        <v>45</v>
      </c>
      <c r="B160" s="8" t="s">
        <v>848</v>
      </c>
      <c r="C160" s="9" t="s">
        <v>890</v>
      </c>
      <c r="G160" s="8" t="s">
        <v>849</v>
      </c>
      <c r="H160" s="10" t="s">
        <v>850</v>
      </c>
      <c r="K160" s="8" t="s">
        <v>38</v>
      </c>
    </row>
    <row r="161" spans="1:14">
      <c r="A161" s="8" t="s">
        <v>41</v>
      </c>
      <c r="B161" s="8" t="str">
        <f>CONCATENATE(B160,"_number")</f>
        <v>ingresos_mes_number</v>
      </c>
      <c r="N161" s="8" t="str">
        <f>CONCATENATE("if(${",B160,"} = 88 or ${",B160,"} = 99, 0, ${",B160,"})")</f>
        <v>if(${ingresos_mes} = 88 or ${ingresos_mes} = 99, 0, ${ingresos_mes})</v>
      </c>
    </row>
    <row r="162" spans="1:14" ht="78.75">
      <c r="A162" s="8" t="s">
        <v>45</v>
      </c>
      <c r="B162" s="8" t="s">
        <v>637</v>
      </c>
      <c r="C162" s="9" t="s">
        <v>744</v>
      </c>
      <c r="D162" s="8" t="s">
        <v>638</v>
      </c>
      <c r="K162" s="8" t="s">
        <v>38</v>
      </c>
    </row>
    <row r="163" spans="1:14">
      <c r="A163" s="8" t="s">
        <v>41</v>
      </c>
      <c r="B163" s="8" t="str">
        <f>CONCATENATE(B162,"_number")</f>
        <v>gasto_alimentos_number</v>
      </c>
      <c r="N163" s="8" t="str">
        <f>CONCATENATE("if(${",B162,"} = 88 or ${",B162,"} = 99, 0, ${",B162,"})")</f>
        <v>if(${gasto_alimentos} = 88 or ${gasto_alimentos} = 99, 0, ${gasto_alimentos})</v>
      </c>
    </row>
    <row r="164" spans="1:14">
      <c r="A164" s="8" t="s">
        <v>36</v>
      </c>
      <c r="B164" s="8" t="s">
        <v>639</v>
      </c>
      <c r="C164" t="s">
        <v>913</v>
      </c>
      <c r="I164" s="8" t="s">
        <v>640</v>
      </c>
    </row>
    <row r="165" spans="1:14" ht="78.75">
      <c r="A165" s="8" t="s">
        <v>45</v>
      </c>
      <c r="B165" s="8" t="s">
        <v>656</v>
      </c>
      <c r="C165" s="9" t="s">
        <v>750</v>
      </c>
      <c r="D165" s="8" t="s">
        <v>638</v>
      </c>
      <c r="K165" s="8" t="s">
        <v>38</v>
      </c>
    </row>
    <row r="166" spans="1:14">
      <c r="A166" s="8" t="s">
        <v>41</v>
      </c>
      <c r="B166" s="8" t="str">
        <f>CONCATENATE(B165,"_number")</f>
        <v>gasto_educacion_number</v>
      </c>
      <c r="N166" s="8" t="str">
        <f>CONCATENATE("if(${",B165,"} = 88 or ${",B165,"} = 99, 0, ${",B165,"})")</f>
        <v>if(${gasto_educacion} = 88 or ${gasto_educacion} = 99, 0, ${gasto_educacion})</v>
      </c>
    </row>
    <row r="167" spans="1:14">
      <c r="A167" s="8" t="s">
        <v>36</v>
      </c>
      <c r="B167" s="8" t="s">
        <v>657</v>
      </c>
      <c r="C167" t="s">
        <v>914</v>
      </c>
      <c r="I167" s="8" t="s">
        <v>658</v>
      </c>
    </row>
    <row r="168" spans="1:14" ht="78.75">
      <c r="A168" s="8" t="s">
        <v>45</v>
      </c>
      <c r="B168" s="8" t="s">
        <v>659</v>
      </c>
      <c r="C168" s="9" t="s">
        <v>751</v>
      </c>
      <c r="D168" s="8" t="s">
        <v>638</v>
      </c>
      <c r="K168" s="8" t="s">
        <v>38</v>
      </c>
    </row>
    <row r="169" spans="1:14">
      <c r="A169" s="8" t="s">
        <v>41</v>
      </c>
      <c r="B169" s="8" t="str">
        <f>CONCATENATE(B168,"_number")</f>
        <v>gasto_transporte_number</v>
      </c>
      <c r="N169" s="8" t="str">
        <f>CONCATENATE("if(${",B168,"} = 88 or ${",B168,"} = 99, 0, ${",B168,"})")</f>
        <v>if(${gasto_transporte} = 88 or ${gasto_transporte} = 99, 0, ${gasto_transporte})</v>
      </c>
    </row>
    <row r="170" spans="1:14">
      <c r="A170" s="8" t="s">
        <v>36</v>
      </c>
      <c r="B170" s="8" t="s">
        <v>660</v>
      </c>
      <c r="C170" t="s">
        <v>915</v>
      </c>
      <c r="I170" s="8" t="s">
        <v>661</v>
      </c>
    </row>
    <row r="171" spans="1:14" ht="94.5">
      <c r="A171" s="8" t="s">
        <v>45</v>
      </c>
      <c r="B171" s="8" t="s">
        <v>665</v>
      </c>
      <c r="C171" s="9" t="s">
        <v>753</v>
      </c>
      <c r="D171" s="8" t="s">
        <v>638</v>
      </c>
      <c r="K171" s="8" t="s">
        <v>38</v>
      </c>
    </row>
    <row r="172" spans="1:14">
      <c r="A172" s="8" t="s">
        <v>41</v>
      </c>
      <c r="B172" s="8" t="str">
        <f>CONCATENATE(B171,"_number")</f>
        <v>gasto_salud_number</v>
      </c>
      <c r="N172" s="8" t="str">
        <f>CONCATENATE("if(${",B171,"} = 88 or ${",B171,"} = 99, 0, ${",B171,"})")</f>
        <v>if(${gasto_salud} = 88 or ${gasto_salud} = 99, 0, ${gasto_salud})</v>
      </c>
    </row>
    <row r="173" spans="1:14">
      <c r="A173" s="8" t="s">
        <v>36</v>
      </c>
      <c r="B173" s="8" t="s">
        <v>666</v>
      </c>
      <c r="C173" t="s">
        <v>916</v>
      </c>
      <c r="I173" s="8" t="s">
        <v>667</v>
      </c>
    </row>
    <row r="174" spans="1:14" ht="78.75">
      <c r="A174" s="8" t="s">
        <v>45</v>
      </c>
      <c r="B174" s="8" t="s">
        <v>662</v>
      </c>
      <c r="C174" s="9" t="s">
        <v>752</v>
      </c>
      <c r="D174" s="8" t="s">
        <v>638</v>
      </c>
      <c r="K174" s="8" t="s">
        <v>38</v>
      </c>
    </row>
    <row r="175" spans="1:14">
      <c r="A175" s="8" t="s">
        <v>41</v>
      </c>
      <c r="B175" s="8" t="str">
        <f>CONCATENATE(B174,"_number")</f>
        <v>gasto_arriendo_number</v>
      </c>
      <c r="N175" s="8" t="str">
        <f>CONCATENATE("if(${",B174,"} = 88 or ${",B174,"} = 99, 0, ${",B174,"})")</f>
        <v>if(${gasto_arriendo} = 88 or ${gasto_arriendo} = 99, 0, ${gasto_arriendo})</v>
      </c>
    </row>
    <row r="176" spans="1:14">
      <c r="A176" s="8" t="s">
        <v>36</v>
      </c>
      <c r="B176" s="8" t="s">
        <v>663</v>
      </c>
      <c r="C176" t="s">
        <v>917</v>
      </c>
      <c r="I176" s="8" t="s">
        <v>664</v>
      </c>
    </row>
    <row r="177" spans="1:14" ht="31.5">
      <c r="A177" s="8" t="s">
        <v>291</v>
      </c>
      <c r="B177" s="8" t="s">
        <v>851</v>
      </c>
      <c r="C177" s="9" t="s">
        <v>852</v>
      </c>
      <c r="K177" s="8" t="s">
        <v>38</v>
      </c>
    </row>
    <row r="178" spans="1:14" ht="78.75">
      <c r="A178" s="8" t="s">
        <v>45</v>
      </c>
      <c r="B178" s="8" t="s">
        <v>641</v>
      </c>
      <c r="C178" s="9" t="s">
        <v>745</v>
      </c>
      <c r="D178" s="8" t="s">
        <v>857</v>
      </c>
      <c r="I178" s="8" t="s">
        <v>856</v>
      </c>
      <c r="K178" s="8" t="s">
        <v>38</v>
      </c>
    </row>
    <row r="179" spans="1:14">
      <c r="A179" s="8" t="s">
        <v>41</v>
      </c>
      <c r="B179" s="8" t="str">
        <f>CONCATENATE(B178,"_number")</f>
        <v>gasto_agua_number</v>
      </c>
      <c r="N179" s="8" t="str">
        <f>CONCATENATE("if(${",B178,"} = 88 or ${",B178,"} = 99, 0, ${",B178,"})")</f>
        <v>if(${gasto_agua} = 88 or ${gasto_agua} = 99, 0, ${gasto_agua})</v>
      </c>
    </row>
    <row r="180" spans="1:14">
      <c r="A180" s="8" t="s">
        <v>36</v>
      </c>
      <c r="B180" s="8" t="s">
        <v>642</v>
      </c>
      <c r="C180" t="s">
        <v>918</v>
      </c>
      <c r="I180" s="8" t="s">
        <v>643</v>
      </c>
    </row>
    <row r="181" spans="1:14" ht="94.5">
      <c r="A181" s="8" t="s">
        <v>45</v>
      </c>
      <c r="B181" s="8" t="s">
        <v>644</v>
      </c>
      <c r="C181" s="9" t="s">
        <v>746</v>
      </c>
      <c r="D181" s="8" t="s">
        <v>857</v>
      </c>
      <c r="I181" s="8" t="s">
        <v>856</v>
      </c>
      <c r="K181" s="8" t="s">
        <v>38</v>
      </c>
    </row>
    <row r="182" spans="1:14">
      <c r="A182" s="8" t="s">
        <v>41</v>
      </c>
      <c r="B182" s="8" t="str">
        <f>CONCATENATE(B181,"_number")</f>
        <v>gasto_energia_number</v>
      </c>
      <c r="N182" s="8" t="str">
        <f>CONCATENATE("if(${",B181,"} = 88 or ${",B181,"} = 99, 0, ${",B181,"})")</f>
        <v>if(${gasto_energia} = 88 or ${gasto_energia} = 99, 0, ${gasto_energia})</v>
      </c>
    </row>
    <row r="183" spans="1:14">
      <c r="A183" s="8" t="s">
        <v>36</v>
      </c>
      <c r="B183" s="8" t="s">
        <v>645</v>
      </c>
      <c r="C183" t="s">
        <v>919</v>
      </c>
      <c r="I183" s="8" t="s">
        <v>646</v>
      </c>
    </row>
    <row r="184" spans="1:14" ht="78.75">
      <c r="A184" s="8" t="s">
        <v>45</v>
      </c>
      <c r="B184" s="8" t="s">
        <v>647</v>
      </c>
      <c r="C184" s="9" t="s">
        <v>747</v>
      </c>
      <c r="D184" s="8" t="s">
        <v>857</v>
      </c>
      <c r="I184" s="8" t="s">
        <v>856</v>
      </c>
      <c r="K184" s="8" t="s">
        <v>38</v>
      </c>
    </row>
    <row r="185" spans="1:14">
      <c r="A185" s="8" t="s">
        <v>41</v>
      </c>
      <c r="B185" s="8" t="str">
        <f>CONCATENATE(B184,"_number")</f>
        <v>gasto_gas_gasolina_number</v>
      </c>
      <c r="N185" s="8" t="str">
        <f>CONCATENATE("if(${",B184,"} = 88 or ${",B184,"} = 99, 0, ${",B184,"})")</f>
        <v>if(${gasto_gas_gasolina} = 88 or ${gasto_gas_gasolina} = 99, 0, ${gasto_gas_gasolina})</v>
      </c>
    </row>
    <row r="186" spans="1:14">
      <c r="A186" s="8" t="s">
        <v>36</v>
      </c>
      <c r="B186" s="8" t="s">
        <v>648</v>
      </c>
      <c r="C186" t="s">
        <v>920</v>
      </c>
      <c r="I186" s="8" t="s">
        <v>649</v>
      </c>
    </row>
    <row r="187" spans="1:14" ht="78.75">
      <c r="A187" s="8" t="s">
        <v>45</v>
      </c>
      <c r="B187" s="8" t="s">
        <v>650</v>
      </c>
      <c r="C187" s="9" t="s">
        <v>748</v>
      </c>
      <c r="D187" s="8" t="s">
        <v>638</v>
      </c>
      <c r="K187" s="8" t="s">
        <v>38</v>
      </c>
    </row>
    <row r="188" spans="1:14">
      <c r="A188" s="8" t="s">
        <v>41</v>
      </c>
      <c r="B188" s="8" t="str">
        <f>CONCATENATE(B187,"_number")</f>
        <v>gasto_carbon_lena_number</v>
      </c>
      <c r="N188" s="8" t="str">
        <f>CONCATENATE("if(${",B187,"} = 88 or ${",B187,"} = 99, 0, ${",B187,"})")</f>
        <v>if(${gasto_carbon_lena} = 88 or ${gasto_carbon_lena} = 99, 0, ${gasto_carbon_lena})</v>
      </c>
    </row>
    <row r="189" spans="1:14">
      <c r="A189" s="8" t="s">
        <v>36</v>
      </c>
      <c r="B189" s="8" t="s">
        <v>651</v>
      </c>
      <c r="C189" t="s">
        <v>921</v>
      </c>
      <c r="I189" s="8" t="s">
        <v>652</v>
      </c>
    </row>
    <row r="190" spans="1:14" ht="94.5">
      <c r="A190" s="8" t="s">
        <v>45</v>
      </c>
      <c r="B190" s="8" t="s">
        <v>853</v>
      </c>
      <c r="C190" s="9" t="s">
        <v>757</v>
      </c>
      <c r="D190" s="8" t="s">
        <v>638</v>
      </c>
      <c r="K190" s="8" t="s">
        <v>38</v>
      </c>
    </row>
    <row r="191" spans="1:14">
      <c r="A191" s="8" t="s">
        <v>41</v>
      </c>
      <c r="B191" s="8" t="str">
        <f>CONCATENATE(B190,"_number")</f>
        <v>gasto_internet_number</v>
      </c>
      <c r="N191" s="8" t="str">
        <f>CONCATENATE("if(${",B190,"} = 88 or ${",B190,"} = 99, 0, ${",B190,"})")</f>
        <v>if(${gasto_internet} = 88 or ${gasto_internet} = 99, 0, ${gasto_internet})</v>
      </c>
    </row>
    <row r="192" spans="1:14">
      <c r="A192" s="8" t="s">
        <v>36</v>
      </c>
      <c r="B192" s="8" t="s">
        <v>854</v>
      </c>
      <c r="C192" t="s">
        <v>922</v>
      </c>
      <c r="I192" s="8" t="s">
        <v>855</v>
      </c>
    </row>
    <row r="193" spans="1:14" ht="110.25">
      <c r="A193" s="8" t="s">
        <v>45</v>
      </c>
      <c r="B193" s="8" t="s">
        <v>653</v>
      </c>
      <c r="C193" s="9" t="s">
        <v>749</v>
      </c>
      <c r="D193" s="8" t="s">
        <v>638</v>
      </c>
      <c r="K193" s="8" t="s">
        <v>38</v>
      </c>
    </row>
    <row r="194" spans="1:14">
      <c r="A194" s="8" t="s">
        <v>41</v>
      </c>
      <c r="B194" s="8" t="str">
        <f>CONCATENATE(B193,"_number")</f>
        <v>gasto_no_alim_number</v>
      </c>
      <c r="N194" s="8" t="str">
        <f>CONCATENATE("if(${",B193,"} = 88 or ${",B193,"} = 99, 0, ${",B193,"})")</f>
        <v>if(${gasto_no_alim} = 88 or ${gasto_no_alim} = 99, 0, ${gasto_no_alim})</v>
      </c>
    </row>
    <row r="195" spans="1:14">
      <c r="A195" s="8" t="s">
        <v>36</v>
      </c>
      <c r="B195" s="8" t="s">
        <v>654</v>
      </c>
      <c r="C195" t="s">
        <v>923</v>
      </c>
      <c r="I195" s="8" t="s">
        <v>655</v>
      </c>
    </row>
    <row r="196" spans="1:14" ht="94.5">
      <c r="A196" s="8" t="s">
        <v>45</v>
      </c>
      <c r="B196" s="8" t="s">
        <v>668</v>
      </c>
      <c r="C196" s="9" t="s">
        <v>754</v>
      </c>
      <c r="D196" s="8" t="s">
        <v>638</v>
      </c>
      <c r="K196" s="8" t="s">
        <v>38</v>
      </c>
    </row>
    <row r="197" spans="1:14">
      <c r="A197" s="8" t="s">
        <v>41</v>
      </c>
      <c r="B197" s="8" t="str">
        <f>CONCATENATE(B196,"_number")</f>
        <v>gasto_prestamos_number</v>
      </c>
      <c r="N197" s="8" t="str">
        <f>CONCATENATE("if(${",B196,"} = 88 or ${",B196,"} = 99, 0, ${",B196,"})")</f>
        <v>if(${gasto_prestamos} = 88 or ${gasto_prestamos} = 99, 0, ${gasto_prestamos})</v>
      </c>
    </row>
    <row r="198" spans="1:14">
      <c r="A198" s="8" t="s">
        <v>36</v>
      </c>
      <c r="B198" s="8" t="s">
        <v>669</v>
      </c>
      <c r="C198" t="s">
        <v>924</v>
      </c>
      <c r="I198" s="8" t="s">
        <v>670</v>
      </c>
    </row>
    <row r="199" spans="1:14" ht="94.5">
      <c r="A199" s="8" t="s">
        <v>45</v>
      </c>
      <c r="B199" s="8" t="s">
        <v>671</v>
      </c>
      <c r="C199" s="9" t="s">
        <v>755</v>
      </c>
      <c r="D199" s="8" t="s">
        <v>638</v>
      </c>
      <c r="K199" s="8" t="s">
        <v>38</v>
      </c>
    </row>
    <row r="200" spans="1:14">
      <c r="A200" s="8" t="s">
        <v>41</v>
      </c>
      <c r="B200" s="8" t="str">
        <f>CONCATENATE(B199,"_number")</f>
        <v>gasto_inversion_number</v>
      </c>
      <c r="N200" s="8" t="str">
        <f>CONCATENATE("if(${",B199,"} = 88 or ${",B199,"} = 99, 0, ${",B199,"})")</f>
        <v>if(${gasto_inversion} = 88 or ${gasto_inversion} = 99, 0, ${gasto_inversion})</v>
      </c>
    </row>
    <row r="201" spans="1:14">
      <c r="A201" s="8" t="s">
        <v>36</v>
      </c>
      <c r="B201" s="8" t="s">
        <v>672</v>
      </c>
      <c r="C201" t="s">
        <v>925</v>
      </c>
      <c r="I201" s="8" t="s">
        <v>673</v>
      </c>
    </row>
    <row r="202" spans="1:14" ht="94.5">
      <c r="A202" s="8" t="s">
        <v>45</v>
      </c>
      <c r="B202" s="8" t="s">
        <v>674</v>
      </c>
      <c r="C202" s="9" t="s">
        <v>756</v>
      </c>
      <c r="D202" s="8" t="s">
        <v>638</v>
      </c>
      <c r="K202" s="8" t="s">
        <v>38</v>
      </c>
    </row>
    <row r="203" spans="1:14">
      <c r="A203" s="8" t="s">
        <v>41</v>
      </c>
      <c r="B203" s="8" t="str">
        <f>CONCATENATE(B202,"_number")</f>
        <v>gasto_remesas_ven_number</v>
      </c>
      <c r="N203" s="8" t="str">
        <f>CONCATENATE("if(${",B202,"} = 88 or ${",B202,"} = 99, 0, ${",B202,"})")</f>
        <v>if(${gasto_remesas_ven} = 88 or ${gasto_remesas_ven} = 99, 0, ${gasto_remesas_ven})</v>
      </c>
    </row>
    <row r="204" spans="1:14">
      <c r="A204" s="8" t="s">
        <v>36</v>
      </c>
      <c r="B204" s="8" t="s">
        <v>675</v>
      </c>
      <c r="C204" t="s">
        <v>926</v>
      </c>
      <c r="I204" s="8" t="s">
        <v>676</v>
      </c>
    </row>
    <row r="205" spans="1:14" ht="78.75">
      <c r="A205" s="8" t="s">
        <v>45</v>
      </c>
      <c r="B205" s="8" t="s">
        <v>677</v>
      </c>
      <c r="C205" s="9" t="s">
        <v>858</v>
      </c>
      <c r="D205" s="8" t="s">
        <v>638</v>
      </c>
      <c r="K205" s="8" t="s">
        <v>38</v>
      </c>
    </row>
    <row r="206" spans="1:14">
      <c r="A206" s="8" t="s">
        <v>41</v>
      </c>
      <c r="B206" s="8" t="str">
        <f>CONCATENATE(B205,"_number")</f>
        <v>gasto_ahorros_number</v>
      </c>
      <c r="N206" s="8" t="str">
        <f>CONCATENATE("if(${",B205,"} = 88 or ${",B205,"} = 99, 0, ${",B205,"})")</f>
        <v>if(${gasto_ahorros} = 88 or ${gasto_ahorros} = 99, 0, ${gasto_ahorros})</v>
      </c>
    </row>
    <row r="207" spans="1:14">
      <c r="A207" s="8" t="s">
        <v>36</v>
      </c>
      <c r="B207" s="8" t="s">
        <v>678</v>
      </c>
      <c r="C207" t="s">
        <v>927</v>
      </c>
      <c r="I207" s="8" t="s">
        <v>679</v>
      </c>
    </row>
    <row r="208" spans="1:14" ht="78.75">
      <c r="A208" s="8" t="s">
        <v>45</v>
      </c>
      <c r="B208" s="8" t="s">
        <v>680</v>
      </c>
      <c r="C208" s="9" t="s">
        <v>758</v>
      </c>
      <c r="D208" s="8" t="s">
        <v>638</v>
      </c>
      <c r="K208" s="8" t="s">
        <v>38</v>
      </c>
    </row>
    <row r="209" spans="1:14">
      <c r="A209" s="8" t="s">
        <v>41</v>
      </c>
      <c r="B209" s="8" t="str">
        <f>CONCATENATE(B208,"_number")</f>
        <v>gasto_otros_number</v>
      </c>
      <c r="N209" s="8" t="str">
        <f>CONCATENATE("if(${",B208,"} = 88 or ${",B208,"} = 99, 0, ${",B208,"})")</f>
        <v>if(${gasto_otros} = 88 or ${gasto_otros} = 99, 0, ${gasto_otros})</v>
      </c>
    </row>
    <row r="210" spans="1:14">
      <c r="A210" s="8" t="s">
        <v>36</v>
      </c>
      <c r="B210" s="8" t="s">
        <v>681</v>
      </c>
      <c r="C210" t="s">
        <v>928</v>
      </c>
      <c r="I210" s="8" t="s">
        <v>682</v>
      </c>
    </row>
    <row r="211" spans="1:14">
      <c r="A211" s="8" t="s">
        <v>41</v>
      </c>
      <c r="B211" s="8" t="s">
        <v>859</v>
      </c>
      <c r="N211" s="2" t="s">
        <v>860</v>
      </c>
    </row>
    <row r="212" spans="1:14">
      <c r="A212" s="8" t="s">
        <v>41</v>
      </c>
      <c r="B212" s="8" t="s">
        <v>861</v>
      </c>
      <c r="N212" s="2" t="s">
        <v>877</v>
      </c>
    </row>
    <row r="213" spans="1:14">
      <c r="A213" s="8" t="s">
        <v>153</v>
      </c>
      <c r="B213" s="8" t="s">
        <v>711</v>
      </c>
      <c r="N213" s="54" t="s">
        <v>690</v>
      </c>
    </row>
    <row r="214" spans="1:14">
      <c r="A214" s="8" t="s">
        <v>41</v>
      </c>
      <c r="B214" s="8" t="s">
        <v>712</v>
      </c>
      <c r="N214" s="8" t="s">
        <v>713</v>
      </c>
    </row>
    <row r="215" spans="1:14">
      <c r="A215" s="8" t="s">
        <v>46</v>
      </c>
      <c r="B215" s="8" t="s">
        <v>626</v>
      </c>
    </row>
    <row r="216" spans="1:14">
      <c r="A216" s="8" t="s">
        <v>153</v>
      </c>
      <c r="B216" s="8" t="s">
        <v>717</v>
      </c>
      <c r="N216" s="54" t="s">
        <v>690</v>
      </c>
    </row>
    <row r="217" spans="1:14">
      <c r="A217" s="8" t="s">
        <v>41</v>
      </c>
      <c r="B217" s="8" t="s">
        <v>714</v>
      </c>
      <c r="N217" s="8" t="s">
        <v>715</v>
      </c>
    </row>
    <row r="218" spans="1:14">
      <c r="A218" s="8" t="s">
        <v>46</v>
      </c>
      <c r="B218" s="8" t="s">
        <v>292</v>
      </c>
    </row>
    <row r="219" spans="1:14">
      <c r="A219" s="8" t="s">
        <v>36</v>
      </c>
      <c r="B219" s="8" t="s">
        <v>688</v>
      </c>
      <c r="C219" s="9" t="s">
        <v>724</v>
      </c>
    </row>
    <row r="220" spans="1:14" ht="31.5">
      <c r="A220" s="8" t="s">
        <v>43</v>
      </c>
      <c r="B220" s="8" t="s">
        <v>739</v>
      </c>
      <c r="C220" s="9" t="s">
        <v>740</v>
      </c>
      <c r="D220" s="8" t="s">
        <v>741</v>
      </c>
      <c r="K220" s="8" t="s">
        <v>38</v>
      </c>
    </row>
  </sheetData>
  <sheetProtection selectLockedCells="1" selectUnlockedCells="1"/>
  <autoFilter ref="A1:T220" xr:uid="{00000000-0001-0000-0000-000000000000}"/>
  <phoneticPr fontId="1" type="noConversion"/>
  <conditionalFormatting sqref="A1:T4 A9:T19 A20:B20 A21:T21 A22:B22 A23:T24 A25:B39 A40:T44 A45:M45 A48:T51 A52:E54 A55:T61 A64:T65 A66:M66 A77:M77 A78:T80 A81:M82 A83:T86 A87:M88 A89:T90 A91:M91 A92:T123 A124:M124 A125:T127 A128:M128 A129:T149 A150:M151 A152:T153 A154:M154 A155:T189 A193:T212 A213:M213 A214:T215 A216:M217 D20:T20 D22:T22 D25:T39 O45:T45 G52:T54 O66:T66 A76 O77:T77 O81:T82 O87:T88 O91:T91 O124:T124 O128:T128 O150:T151 N151 O154:T154 O213:T213 O216:T217 N217 A67:T75 A218:T1048576">
    <cfRule type="expression" dxfId="567" priority="737" stopIfTrue="1">
      <formula>$A1="note"</formula>
    </cfRule>
    <cfRule type="expression" dxfId="566" priority="739" stopIfTrue="1">
      <formula>$A1="barcode"</formula>
    </cfRule>
    <cfRule type="expression" dxfId="565" priority="741" stopIfTrue="1">
      <formula>$A1="geopoint"</formula>
    </cfRule>
  </conditionalFormatting>
  <conditionalFormatting sqref="A1:T4 A9:T19 A20:B20 A21:T21 A22:B22 A23:T24 A25:B39 A40:T44 A45:M45 A48:T51 A52:E54 A55:T61 A64:T65 A66:M66 A77:M77 A78:T80 A81:M82 A83:T86 A87:M88 A89:T90 A91:M91 A92:T123 A124:M124 A125:T127 A128:M128 A129:T149 A150:M151 A152:T153 A154:M154 A155:T212 A213:M213 A214:T215 A216:M217 D20:T20 D22:T22 D25:T39 O45:T45 G52:T54 O66:T66 A76 O77:T77 O81:T82 O87:T88 O91:T91 O124:T124 O128:T128 O150:T151 N151 O154:T154 O213:T213 O216:T217 N217 A67:T75 A218:T1048576">
    <cfRule type="expression" dxfId="564" priority="727" stopIfTrue="1">
      <formula>OR($A1="audio", $A1="video")</formula>
    </cfRule>
  </conditionalFormatting>
  <conditionalFormatting sqref="A1:T4 A9:T19 A20:B20 D20:T20 A21:T21 A22:B22 D22:T22 A23:T24 A25:B39 D25:T39 A40:T44 A45:M45 A48:T51 A52:E54 A55:T61 A64:T65 A66:M66 A77:M77 A78:T80 A81:M82 A83:T86 A87:M88 A89:T90 A91:M91 A92:T123 A124:M124 A125:T127 A128:M128 A129:T149 A150:M151 A152:T153 A154:M154 A155:T189 A193:T212 A213:M213 A214:T215 A216:M217 O45:T45 G52:T54 O66:T66 A76 O77:T77 O81:T82 O87:T88 O91:T91 O124:T124 O128:T128 O150:T151 N151 O154:T154 O213:T213 O216:T217 N217 A67:T75 A218:T1048576">
    <cfRule type="expression" dxfId="563" priority="729" stopIfTrue="1">
      <formula>$A1="image"</formula>
    </cfRule>
    <cfRule type="expression" dxfId="562" priority="733" stopIfTrue="1">
      <formula>OR($A1="date", $A1="datetime")</formula>
    </cfRule>
    <cfRule type="expression" dxfId="561" priority="743" stopIfTrue="1">
      <formula>OR($A1="audio audit", $A1="text audit")</formula>
    </cfRule>
    <cfRule type="expression" dxfId="560" priority="753" stopIfTrue="1">
      <formula>OR(AND(LEFT($A1, 16)="select_multiple ", LEN($A1)&gt;16, NOT(ISNUMBER(SEARCH(" ", $A1, 17)))), AND(LEFT($A1, 11)="select_one ", LEN($A1)&gt;11, NOT(ISNUMBER(SEARCH(" ", $A1, 12)))))</formula>
    </cfRule>
    <cfRule type="expression" dxfId="559" priority="762" stopIfTrue="1">
      <formula>$A1="text"</formula>
    </cfRule>
  </conditionalFormatting>
  <conditionalFormatting sqref="A1:T4 A9:T19 A20:B20 D20:T20 A21:T21 A22:B22 D22:T22 A23:T24 A25:B39 D25:T39 A40:T44 A45:M45 A48:T51 A52:E54 G52:T54 A55:T61 A64:T65 A66:M66 A77:M77 A78:T80 A81:M82 A83:T86 A87:M88 A89:T90 A91:M91 A92:T123 A124:M124 A125:T127 A128:M128 A129:T149 A150:M151 A152:T153 A154:M154 A155:T189 A193:T212 A213:M213 A214:T215 A216:M217 O45:T45 O66:T66 A76 O77:T77 O81:T82 O87:T88 O91:T91 O124:T124 O128:T128 O150:T151 N151 O154:T154 O213:T213 O216:T217 N217 A67:T75 A218:T1048576">
    <cfRule type="expression" dxfId="558" priority="758" stopIfTrue="1">
      <formula>$A1="decimal"</formula>
    </cfRule>
    <cfRule type="expression" dxfId="557" priority="760" stopIfTrue="1">
      <formula>$A1="integer"</formula>
    </cfRule>
    <cfRule type="expression" dxfId="556" priority="768" stopIfTrue="1">
      <formula>$A1="begin group"</formula>
    </cfRule>
  </conditionalFormatting>
  <conditionalFormatting sqref="A1:T4 A9:T19 A20:B20 D20:T20 A21:T21 A22:B22 D22:T22 A23:T24 A25:B39 D25:T39 A40:T44 A45:M45 A48:T51 A52:E54 G52:T54 A55:T61 A64:T65 A66:M66 A77:M77 A78:T80 A81:M82 A83:T86 A87:M88 A89:T90 A91:M91 A92:T123 A124:M124 A125:T127 A128:M128 A129:T149 A150:M151 N151 A152:T153 A154:M154 A155:T189 A193:T212 A213:M213 A214:T215 A216:M217 N217 O45:T45 O66:T66 A76 O77:T77 O81:T82 O87:T88 O91:T91 O124:T124 O128:T128 O150:T151 O154:T154 O213:T213 O216:T217 A67:T75 A218:T1048576">
    <cfRule type="expression" dxfId="555" priority="735" stopIfTrue="1">
      <formula>OR($A1="calculate", $A1="calculate_here")</formula>
    </cfRule>
  </conditionalFormatting>
  <conditionalFormatting sqref="A1:T4 A9:T19 A20:B20 D20:T20 A21:T21 A22:B22 D22:T22 A23:T24 A25:B39 D25:T39 A40:T44 A45:M45 O45:T45 A48:T51 A52:E54 G52:T54 A55:T61 A64:T65 A66:M66 O66:T66 A76 A77:M77 O77:T77 A78:T80 A81:M82 O81:T82 A83:T86 A87:M88 O87:T88 A89:T90 A91:M91 O91:T91 A92:T123 A124:M124 O124:T124 A125:T127 A128:M128 O128:T128 A129:T149 A150:M151 O150:T151 N151 A152:T153 A154:M154 O154:T154 A155:T189 A193:T212 A213:M213 O213:T213 A214:T215 A216:M217 O216:T217 N217 A67:T75 A218:T1048576">
    <cfRule type="expression" dxfId="554" priority="746" stopIfTrue="1">
      <formula>OR($A1="username", $A1="phonenumber", $A1="start", $A1="end", $A1="deviceid", $A1="subscriberid", $A1="simserial")</formula>
    </cfRule>
    <cfRule type="expression" dxfId="553" priority="763" stopIfTrue="1">
      <formula>$A1="end repeat"</formula>
    </cfRule>
    <cfRule type="expression" dxfId="552" priority="766" stopIfTrue="1">
      <formula>$A1="end group"</formula>
    </cfRule>
  </conditionalFormatting>
  <conditionalFormatting sqref="A1:T4 A9:T19 A20:B20 D20:T20 A21:T21 A22:B22 D22:T22 A23:T24 A25:B39 D25:T39 A40:T44 A45:M45 O45:T45 A48:T51 A52:E54 G52:T54 A55:T61 A64:T65 A66:M66 O66:T66 A77:M77 O77:T77 A78:T80 A81:M82 O81:T82 A83:T86 A87:M88 O87:T88 A89:T90 A91:M91 O91:T91 A92:T123 A124:M124 O124:T124 A125:T127 A128:M128 O128:T128 A129:T149 A150:M151 O150:T151 A152:T153 A154:M154 O154:T154 A155:T189 A193:T212 A213:M213 O213:T213 A214:T215 A216:M217 O216:T217 A76 N151 N217 A67:T75 A218:T1048576">
    <cfRule type="expression" dxfId="551" priority="765" stopIfTrue="1">
      <formula>$A1="begin repeat"</formula>
    </cfRule>
  </conditionalFormatting>
  <conditionalFormatting sqref="A190:T192">
    <cfRule type="expression" dxfId="550" priority="4" stopIfTrue="1">
      <formula>$A190="image"</formula>
    </cfRule>
    <cfRule type="expression" dxfId="549" priority="5" stopIfTrue="1">
      <formula>OR($A190="date", $A190="datetime")</formula>
    </cfRule>
    <cfRule type="expression" dxfId="548" priority="6" stopIfTrue="1">
      <formula>OR($A190="calculate", $A190="calculate_here")</formula>
    </cfRule>
    <cfRule type="expression" dxfId="547" priority="8" stopIfTrue="1">
      <formula>$A190="note"</formula>
    </cfRule>
    <cfRule type="expression" dxfId="546" priority="10" stopIfTrue="1">
      <formula>$A190="barcode"</formula>
    </cfRule>
    <cfRule type="expression" dxfId="545" priority="12" stopIfTrue="1">
      <formula>$A190="geopoint"</formula>
    </cfRule>
    <cfRule type="expression" dxfId="544" priority="13" stopIfTrue="1">
      <formula>OR($A190="audio audit", $A190="text audit")</formula>
    </cfRule>
    <cfRule type="expression" dxfId="543" priority="14" stopIfTrue="1">
      <formula>OR($A190="username", $A190="phonenumber", $A190="start", $A190="end", $A190="deviceid", $A190="subscriberid", $A190="simserial")</formula>
    </cfRule>
    <cfRule type="expression" dxfId="542" priority="15" stopIfTrue="1">
      <formula>OR(AND(LEFT($A190, 16)="select_multiple ", LEN($A190)&gt;16, NOT(ISNUMBER(SEARCH(" ", $A190, 17)))), AND(LEFT($A190, 11)="select_one ", LEN($A190)&gt;11, NOT(ISNUMBER(SEARCH(" ", $A190, 12)))))</formula>
    </cfRule>
    <cfRule type="expression" dxfId="541" priority="17" stopIfTrue="1">
      <formula>$A190="decimal"</formula>
    </cfRule>
    <cfRule type="expression" dxfId="540" priority="19" stopIfTrue="1">
      <formula>$A190="integer"</formula>
    </cfRule>
    <cfRule type="expression" dxfId="539" priority="20" stopIfTrue="1">
      <formula>$A190="text"</formula>
    </cfRule>
    <cfRule type="expression" dxfId="538" priority="21" stopIfTrue="1">
      <formula>$A190="end repeat"</formula>
    </cfRule>
    <cfRule type="expression" dxfId="537" priority="22" stopIfTrue="1">
      <formula>$A190="begin repeat"</formula>
    </cfRule>
    <cfRule type="expression" dxfId="536" priority="23" stopIfTrue="1">
      <formula>$A190="end group"</formula>
    </cfRule>
    <cfRule type="expression" dxfId="535" priority="24" stopIfTrue="1">
      <formula>$A190="begin group"</formula>
    </cfRule>
  </conditionalFormatting>
  <conditionalFormatting sqref="A5:W8">
    <cfRule type="expression" dxfId="534" priority="489" stopIfTrue="1">
      <formula>$A5="note"</formula>
    </cfRule>
    <cfRule type="expression" dxfId="533" priority="490" stopIfTrue="1">
      <formula>OR(AND(LEFT($A5, 14)="sensor_stream ", LEN($A5)&gt;14, NOT(ISNUMBER(SEARCH(" ", $A5, 15)))), AND(LEFT($A5, 17)="sensor_statistic ", LEN($A5)&gt;17, NOT(ISNUMBER(SEARCH(" ", $A5, 18)))))</formula>
    </cfRule>
    <cfRule type="expression" dxfId="532" priority="491" stopIfTrue="1">
      <formula>$A5="comments"</formula>
    </cfRule>
    <cfRule type="expression" dxfId="531" priority="492" stopIfTrue="1">
      <formula>OR($A5="audio", $A5="video")</formula>
    </cfRule>
    <cfRule type="expression" dxfId="530" priority="493" stopIfTrue="1">
      <formula>$A5="image"</formula>
    </cfRule>
    <cfRule type="expression" dxfId="529" priority="494" stopIfTrue="1">
      <formula>OR($A5="date", $A5="datetime", $A5="time")</formula>
    </cfRule>
    <cfRule type="expression" dxfId="528" priority="495" stopIfTrue="1">
      <formula>$A5="enumerator"</formula>
    </cfRule>
    <cfRule type="expression" dxfId="527" priority="496" stopIfTrue="1">
      <formula>$A5="file"</formula>
    </cfRule>
    <cfRule type="expression" dxfId="526" priority="497" stopIfTrue="1">
      <formula>$A5="integer"</formula>
    </cfRule>
    <cfRule type="expression" dxfId="525" priority="498" stopIfTrue="1">
      <formula>$A5="begin repeat"</formula>
    </cfRule>
    <cfRule type="expression" dxfId="524" priority="499" stopIfTrue="1">
      <formula>OR($A5="username", $A5="phonenumber", $A5="start", $A5="end", $A5="deviceid", $A5="subscriberid", $A5="simserial", $A5="caseid")</formula>
    </cfRule>
    <cfRule type="expression" dxfId="523" priority="500" stopIfTrue="1">
      <formula>$A5="end repeat"</formula>
    </cfRule>
    <cfRule type="expression" dxfId="522" priority="501" stopIfTrue="1">
      <formula>$A5="end group"</formula>
    </cfRule>
    <cfRule type="expression" dxfId="521" priority="502" stopIfTrue="1">
      <formula>$A5="barcode"</formula>
    </cfRule>
    <cfRule type="expression" dxfId="520" priority="503" stopIfTrue="1">
      <formula>OR($A5="geopoint", $A5="geoshape", $A5="geotrace")</formula>
    </cfRule>
    <cfRule type="expression" dxfId="519" priority="504" stopIfTrue="1">
      <formula>OR($A5="audio audit", $A5="text audit", $A5="speed violations count", $A5="speed violations list", $A5="speed violations audit")</formula>
    </cfRule>
    <cfRule type="expression" dxfId="518" priority="505" stopIfTrue="1">
      <formula>OR(AND(LEFT($A5, 16)="select_multiple ", LEN($A5)&gt;16, NOT(ISNUMBER(SEARCH(" ", $A5, 17)))), AND(LEFT($A5, 11)="select_one ", LEN($A5)&gt;11, NOT(ISNUMBER(SEARCH(" ", $A5, 12)))))</formula>
    </cfRule>
    <cfRule type="expression" dxfId="517" priority="506" stopIfTrue="1">
      <formula>$A5="text"</formula>
    </cfRule>
    <cfRule type="expression" dxfId="516" priority="507" stopIfTrue="1">
      <formula>OR($A5="calculate", $A5="calculate_here")</formula>
    </cfRule>
    <cfRule type="expression" dxfId="515" priority="508" stopIfTrue="1">
      <formula>$A5="begin group"</formula>
    </cfRule>
    <cfRule type="expression" dxfId="514" priority="509" stopIfTrue="1">
      <formula>$A5="decimal"</formula>
    </cfRule>
  </conditionalFormatting>
  <conditionalFormatting sqref="B1:B4 F1:F4 F9:F45 F48:F51 F55:F61 B9:B75 F64:F75 B77:B1048576 F77:F1048576">
    <cfRule type="expression" dxfId="513" priority="742" stopIfTrue="1">
      <formula>OR($A1="audio audit", $A1="text audit")</formula>
    </cfRule>
  </conditionalFormatting>
  <conditionalFormatting sqref="B1:B4 N1:N4 N9:N44 N48:N61 N64:N65 N78:N80 N83:N86 N89:N90 N92:N123 N125:N127 N129:N149 N151:N153 N155:N212 N214:N215 B9:B75 N67:N75 B77:B1048576 N217:N1048576">
    <cfRule type="expression" dxfId="512" priority="734" stopIfTrue="1">
      <formula>OR($A1="calculate", $A1="calculate_here")</formula>
    </cfRule>
  </conditionalFormatting>
  <conditionalFormatting sqref="B5:B8 F5:F8">
    <cfRule type="expression" dxfId="511" priority="510" stopIfTrue="1">
      <formula>OR($A5="audio audit", $A5="text audit", $A5="speed violations count", $A5="speed violations list", $A5="speed violations audit")</formula>
    </cfRule>
    <cfRule type="expression" dxfId="510" priority="513" stopIfTrue="1">
      <formula>OR(AND(LEFT($A5, 14)="sensor_stream ", LEN($A5)&gt;14, NOT(ISNUMBER(SEARCH(" ", $A5, 15)))), AND(LEFT($A5, 17)="sensor_statistic ", LEN($A5)&gt;17, NOT(ISNUMBER(SEARCH(" ", $A5, 18)))))</formula>
    </cfRule>
  </conditionalFormatting>
  <conditionalFormatting sqref="B5:B8 N5:N8">
    <cfRule type="expression" dxfId="509" priority="511" stopIfTrue="1">
      <formula>OR($A5="calculate", $A5="calculate_here")</formula>
    </cfRule>
  </conditionalFormatting>
  <conditionalFormatting sqref="B5:B8">
    <cfRule type="expression" dxfId="508" priority="512" stopIfTrue="1">
      <formula>$A5="comments"</formula>
    </cfRule>
  </conditionalFormatting>
  <conditionalFormatting sqref="B46:B47">
    <cfRule type="expression" dxfId="507" priority="695" stopIfTrue="1">
      <formula>OR($A46="audio", $A46="video")</formula>
    </cfRule>
    <cfRule type="expression" dxfId="506" priority="696" stopIfTrue="1">
      <formula>OR($A46="audio", $A46="video")</formula>
    </cfRule>
    <cfRule type="expression" dxfId="505" priority="697" stopIfTrue="1">
      <formula>$A46="image"</formula>
    </cfRule>
    <cfRule type="expression" dxfId="504" priority="698" stopIfTrue="1">
      <formula>$A46="image"</formula>
    </cfRule>
    <cfRule type="expression" dxfId="503" priority="699" stopIfTrue="1">
      <formula>OR($A46="date", $A46="datetime")</formula>
    </cfRule>
    <cfRule type="expression" dxfId="502" priority="700" stopIfTrue="1">
      <formula>OR($A46="date", $A46="datetime")</formula>
    </cfRule>
    <cfRule type="expression" dxfId="501" priority="701" stopIfTrue="1">
      <formula>OR($A46="calculate", $A46="calculate_here")</formula>
    </cfRule>
    <cfRule type="expression" dxfId="500" priority="702" stopIfTrue="1">
      <formula>$A46="note"</formula>
    </cfRule>
    <cfRule type="expression" dxfId="499" priority="703" stopIfTrue="1">
      <formula>$A46="note"</formula>
    </cfRule>
    <cfRule type="expression" dxfId="498" priority="704" stopIfTrue="1">
      <formula>$A46="barcode"</formula>
    </cfRule>
    <cfRule type="expression" dxfId="497" priority="705" stopIfTrue="1">
      <formula>$A46="barcode"</formula>
    </cfRule>
    <cfRule type="expression" dxfId="496" priority="706" stopIfTrue="1">
      <formula>$A46="geopoint"</formula>
    </cfRule>
    <cfRule type="expression" dxfId="495" priority="707" stopIfTrue="1">
      <formula>$A46="geopoint"</formula>
    </cfRule>
    <cfRule type="expression" dxfId="494" priority="708" stopIfTrue="1">
      <formula>OR($A46="audio audit", $A46="text audit")</formula>
    </cfRule>
    <cfRule type="expression" dxfId="493" priority="709" stopIfTrue="1">
      <formula>OR($A46="username", $A46="phonenumber", $A46="start", $A46="end", $A46="deviceid", $A46="subscriberid", $A46="simserial")</formula>
    </cfRule>
    <cfRule type="expression" dxfId="492" priority="710" stopIfTrue="1">
      <formula>OR(AND(LEFT($A46, 16)="select_multiple ", LEN($A46)&gt;16, NOT(ISNUMBER(SEARCH(" ", $A46, 17)))), AND(LEFT($A46, 11)="select_one ", LEN($A46)&gt;11, NOT(ISNUMBER(SEARCH(" ", $A46, 12)))))</formula>
    </cfRule>
    <cfRule type="expression" dxfId="491" priority="711" stopIfTrue="1">
      <formula>OR(AND(LEFT($A46, 16)="select_multiple ", LEN($A46)&gt;16, NOT(ISNUMBER(SEARCH(" ", $A46, 17)))), AND(LEFT($A46, 11)="select_one ", LEN($A46)&gt;11, NOT(ISNUMBER(SEARCH(" ", $A46, 12)))))</formula>
    </cfRule>
    <cfRule type="expression" dxfId="490" priority="712" stopIfTrue="1">
      <formula>$A46="decimal"</formula>
    </cfRule>
    <cfRule type="expression" dxfId="489" priority="713" stopIfTrue="1">
      <formula>$A46="decimal"</formula>
    </cfRule>
    <cfRule type="expression" dxfId="488" priority="714" stopIfTrue="1">
      <formula>$A46="integer"</formula>
    </cfRule>
    <cfRule type="expression" dxfId="487" priority="715" stopIfTrue="1">
      <formula>$A46="integer"</formula>
    </cfRule>
    <cfRule type="expression" dxfId="486" priority="716" stopIfTrue="1">
      <formula>$A46="text"</formula>
    </cfRule>
    <cfRule type="expression" dxfId="485" priority="717" stopIfTrue="1">
      <formula>$A46="text"</formula>
    </cfRule>
    <cfRule type="expression" dxfId="484" priority="718" stopIfTrue="1">
      <formula>$A46="end repeat"</formula>
    </cfRule>
    <cfRule type="expression" dxfId="483" priority="719" stopIfTrue="1">
      <formula>$A46="begin repeat"</formula>
    </cfRule>
    <cfRule type="expression" dxfId="482" priority="720" stopIfTrue="1">
      <formula>$A46="begin repeat"</formula>
    </cfRule>
    <cfRule type="expression" dxfId="481" priority="721" stopIfTrue="1">
      <formula>$A46="end group"</formula>
    </cfRule>
    <cfRule type="expression" dxfId="480" priority="722" stopIfTrue="1">
      <formula>$A46="begin group"</formula>
    </cfRule>
    <cfRule type="expression" dxfId="479" priority="723" stopIfTrue="1">
      <formula>$A46="begin group"</formula>
    </cfRule>
  </conditionalFormatting>
  <conditionalFormatting sqref="B62:B63">
    <cfRule type="expression" dxfId="478" priority="368" stopIfTrue="1">
      <formula>OR($A62="audio", $A62="video")</formula>
    </cfRule>
    <cfRule type="expression" dxfId="477" priority="369" stopIfTrue="1">
      <formula>OR($A62="audio", $A62="video")</formula>
    </cfRule>
    <cfRule type="expression" dxfId="476" priority="370" stopIfTrue="1">
      <formula>$A62="image"</formula>
    </cfRule>
    <cfRule type="expression" dxfId="475" priority="371" stopIfTrue="1">
      <formula>$A62="image"</formula>
    </cfRule>
    <cfRule type="expression" dxfId="474" priority="372" stopIfTrue="1">
      <formula>OR($A62="date", $A62="datetime")</formula>
    </cfRule>
    <cfRule type="expression" dxfId="473" priority="373" stopIfTrue="1">
      <formula>OR($A62="date", $A62="datetime")</formula>
    </cfRule>
    <cfRule type="expression" dxfId="472" priority="374" stopIfTrue="1">
      <formula>OR($A62="calculate", $A62="calculate_here")</formula>
    </cfRule>
    <cfRule type="expression" dxfId="471" priority="375" stopIfTrue="1">
      <formula>$A62="note"</formula>
    </cfRule>
    <cfRule type="expression" dxfId="470" priority="376" stopIfTrue="1">
      <formula>$A62="note"</formula>
    </cfRule>
    <cfRule type="expression" dxfId="469" priority="377" stopIfTrue="1">
      <formula>$A62="barcode"</formula>
    </cfRule>
    <cfRule type="expression" dxfId="468" priority="378" stopIfTrue="1">
      <formula>$A62="barcode"</formula>
    </cfRule>
    <cfRule type="expression" dxfId="467" priority="379" stopIfTrue="1">
      <formula>$A62="geopoint"</formula>
    </cfRule>
    <cfRule type="expression" dxfId="466" priority="380" stopIfTrue="1">
      <formula>$A62="geopoint"</formula>
    </cfRule>
    <cfRule type="expression" dxfId="465" priority="381" stopIfTrue="1">
      <formula>OR($A62="audio audit", $A62="text audit")</formula>
    </cfRule>
    <cfRule type="expression" dxfId="464" priority="382" stopIfTrue="1">
      <formula>OR($A62="username", $A62="phonenumber", $A62="start", $A62="end", $A62="deviceid", $A62="subscriberid", $A62="simserial")</formula>
    </cfRule>
    <cfRule type="expression" dxfId="463" priority="383" stopIfTrue="1">
      <formula>OR(AND(LEFT($A62, 16)="select_multiple ", LEN($A62)&gt;16, NOT(ISNUMBER(SEARCH(" ", $A62, 17)))), AND(LEFT($A62, 11)="select_one ", LEN($A62)&gt;11, NOT(ISNUMBER(SEARCH(" ", $A62, 12)))))</formula>
    </cfRule>
    <cfRule type="expression" dxfId="462" priority="384" stopIfTrue="1">
      <formula>OR(AND(LEFT($A62, 16)="select_multiple ", LEN($A62)&gt;16, NOT(ISNUMBER(SEARCH(" ", $A62, 17)))), AND(LEFT($A62, 11)="select_one ", LEN($A62)&gt;11, NOT(ISNUMBER(SEARCH(" ", $A62, 12)))))</formula>
    </cfRule>
    <cfRule type="expression" dxfId="461" priority="385" stopIfTrue="1">
      <formula>$A62="decimal"</formula>
    </cfRule>
    <cfRule type="expression" dxfId="460" priority="386" stopIfTrue="1">
      <formula>$A62="decimal"</formula>
    </cfRule>
    <cfRule type="expression" dxfId="459" priority="387" stopIfTrue="1">
      <formula>$A62="integer"</formula>
    </cfRule>
    <cfRule type="expression" dxfId="458" priority="388" stopIfTrue="1">
      <formula>$A62="integer"</formula>
    </cfRule>
    <cfRule type="expression" dxfId="457" priority="389" stopIfTrue="1">
      <formula>$A62="text"</formula>
    </cfRule>
    <cfRule type="expression" dxfId="456" priority="390" stopIfTrue="1">
      <formula>$A62="text"</formula>
    </cfRule>
    <cfRule type="expression" dxfId="455" priority="391" stopIfTrue="1">
      <formula>$A62="end repeat"</formula>
    </cfRule>
    <cfRule type="expression" dxfId="454" priority="392" stopIfTrue="1">
      <formula>$A62="begin repeat"</formula>
    </cfRule>
    <cfRule type="expression" dxfId="453" priority="393" stopIfTrue="1">
      <formula>$A62="begin repeat"</formula>
    </cfRule>
    <cfRule type="expression" dxfId="452" priority="394" stopIfTrue="1">
      <formula>$A62="end group"</formula>
    </cfRule>
    <cfRule type="expression" dxfId="451" priority="395" stopIfTrue="1">
      <formula>$A62="begin group"</formula>
    </cfRule>
    <cfRule type="expression" dxfId="450" priority="396" stopIfTrue="1">
      <formula>$A62="begin group"</formula>
    </cfRule>
  </conditionalFormatting>
  <conditionalFormatting sqref="B1:C4 B9:C19 B20 B21:C21 B22 B23:C24 B25:B39 B40:C45 B48:C61 B77:C189 B64:C75 B193:C1048576">
    <cfRule type="expression" dxfId="449" priority="736" stopIfTrue="1">
      <formula>$A1="note"</formula>
    </cfRule>
    <cfRule type="expression" dxfId="448" priority="738" stopIfTrue="1">
      <formula>$A1="barcode"</formula>
    </cfRule>
    <cfRule type="expression" dxfId="447" priority="740" stopIfTrue="1">
      <formula>$A1="geopoint"</formula>
    </cfRule>
  </conditionalFormatting>
  <conditionalFormatting sqref="B1:C4 F1:F4 B9:C19 F9:F45 B20 B21:C21 B22 B23:C24 B25:B39 B40:C45 F48:F51 B48:C61 F55:F61 B64:C75 F64:F75 B77:C1048576 F77:F1048576">
    <cfRule type="expression" dxfId="446" priority="728" stopIfTrue="1">
      <formula>$A1="image"</formula>
    </cfRule>
    <cfRule type="expression" dxfId="445" priority="732" stopIfTrue="1">
      <formula>OR($A1="date", $A1="datetime")</formula>
    </cfRule>
    <cfRule type="expression" dxfId="444" priority="752" stopIfTrue="1">
      <formula>OR(AND(LEFT($A1, 16)="select_multiple ", LEN($A1)&gt;16, NOT(ISNUMBER(SEARCH(" ", $A1, 17)))), AND(LEFT($A1, 11)="select_one ", LEN($A1)&gt;11, NOT(ISNUMBER(SEARCH(" ", $A1, 12)))))</formula>
    </cfRule>
  </conditionalFormatting>
  <conditionalFormatting sqref="B1:C4 F1:F4 I1:I4 B9:C19 F9:F45 I9:I45 B20 B21:C21 B22 B23:C24 B25:B39 B40:C45 F48:F51 B48:C61 I48:I61 F55:F61 B64:C75 F64:F75 I64:I75 B77:C1048576 F77:F1048576 I77:I1048576">
    <cfRule type="expression" dxfId="443" priority="767" stopIfTrue="1">
      <formula>$A1="begin group"</formula>
    </cfRule>
  </conditionalFormatting>
  <conditionalFormatting sqref="B1:C4 I1:I4 O1:O4 B9:C19 I9:I45 O9:O45 B20 B21:C21 B22 B23:C24 B25:B39 B40:C45 B48:C61 I48:I61 O48:O61 B64:C75 I64:I75 O64:O75 B77:C1048576 I77:I1048576 O77:O1048576">
    <cfRule type="expression" dxfId="442" priority="764" stopIfTrue="1">
      <formula>$A1="begin repeat"</formula>
    </cfRule>
  </conditionalFormatting>
  <conditionalFormatting sqref="B5:C8 F5:F8 I5:I8">
    <cfRule type="expression" dxfId="441" priority="523" stopIfTrue="1">
      <formula>$A5="begin group"</formula>
    </cfRule>
  </conditionalFormatting>
  <conditionalFormatting sqref="B5:C8 F5:F8">
    <cfRule type="expression" dxfId="440" priority="520" stopIfTrue="1">
      <formula>$A5="image"</formula>
    </cfRule>
    <cfRule type="expression" dxfId="439" priority="521" stopIfTrue="1">
      <formula>OR(AND(LEFT($A5, 16)="select_multiple ", LEN($A5)&gt;16, NOT(ISNUMBER(SEARCH(" ", $A5, 17)))), AND(LEFT($A5, 11)="select_one ", LEN($A5)&gt;11, NOT(ISNUMBER(SEARCH(" ", $A5, 12)))))</formula>
    </cfRule>
    <cfRule type="expression" dxfId="438" priority="522" stopIfTrue="1">
      <formula>OR($A5="date", $A5="datetime", $A5="time")</formula>
    </cfRule>
  </conditionalFormatting>
  <conditionalFormatting sqref="B5:C8 I5:I8 O5:O8">
    <cfRule type="expression" dxfId="437" priority="514" stopIfTrue="1">
      <formula>$A5="begin repeat"</formula>
    </cfRule>
  </conditionalFormatting>
  <conditionalFormatting sqref="B5:C8">
    <cfRule type="expression" dxfId="436" priority="515" stopIfTrue="1">
      <formula>$A5="note"</formula>
    </cfRule>
    <cfRule type="expression" dxfId="435" priority="516" stopIfTrue="1">
      <formula>$A5="barcode"</formula>
    </cfRule>
    <cfRule type="expression" dxfId="434" priority="517" stopIfTrue="1">
      <formula>OR($A5="geopoint", $A5="geoshape", $A5="geotrace")</formula>
    </cfRule>
    <cfRule type="expression" dxfId="433" priority="518" stopIfTrue="1">
      <formula>OR($A5="audio", $A5="video")</formula>
    </cfRule>
    <cfRule type="expression" dxfId="432" priority="519" stopIfTrue="1">
      <formula>$A5="file"</formula>
    </cfRule>
  </conditionalFormatting>
  <conditionalFormatting sqref="B1:C4 B9:C19 B20 B21:C21 B22 B23:C24 B25:B39 B40:C45 B48:C61 B77:C1048576 B64:C75">
    <cfRule type="expression" dxfId="431" priority="726" stopIfTrue="1">
      <formula>OR($A1="audio", $A1="video")</formula>
    </cfRule>
  </conditionalFormatting>
  <conditionalFormatting sqref="B190:C192">
    <cfRule type="expression" dxfId="430" priority="7" stopIfTrue="1">
      <formula>$A190="note"</formula>
    </cfRule>
    <cfRule type="expression" dxfId="429" priority="9" stopIfTrue="1">
      <formula>$A190="barcode"</formula>
    </cfRule>
    <cfRule type="expression" dxfId="428" priority="11" stopIfTrue="1">
      <formula>$A190="geopoint"</formula>
    </cfRule>
  </conditionalFormatting>
  <conditionalFormatting sqref="B1:D4 F1:F4 B9:D19 F9:F45 B20 D20 B21:D21 B22 D22 B23:D24 B25:B39 D25:D39 B40:D45 F48:F51 B48:D61 F55:F61 B64:D75 F64:F75 B77:D1048576 F77:F1048576">
    <cfRule type="expression" dxfId="427" priority="761" stopIfTrue="1">
      <formula>$A1="text"</formula>
    </cfRule>
  </conditionalFormatting>
  <conditionalFormatting sqref="B1:D4 G1:H4 B9:D19 G9:H45 B20 D20 B21:D21 B22 D22 B23:D24 B25:B39 D25:D39 B40:D45 B48:D61 G48:H61 B77:D189 G77:H189 B64:D75 G64:H75 B193:D1048576 G193:H1048576">
    <cfRule type="expression" dxfId="426" priority="757" stopIfTrue="1">
      <formula>$A1="decimal"</formula>
    </cfRule>
    <cfRule type="expression" dxfId="425" priority="759" stopIfTrue="1">
      <formula>$A1="integer"</formula>
    </cfRule>
  </conditionalFormatting>
  <conditionalFormatting sqref="B5:D8 F5:F8">
    <cfRule type="expression" dxfId="424" priority="524" stopIfTrue="1">
      <formula>$A5="text"</formula>
    </cfRule>
    <cfRule type="expression" dxfId="423" priority="525" stopIfTrue="1">
      <formula>$A5="enumerator"</formula>
    </cfRule>
  </conditionalFormatting>
  <conditionalFormatting sqref="B5:D8 G5:H8">
    <cfRule type="expression" dxfId="422" priority="526" stopIfTrue="1">
      <formula>$A5="decimal"</formula>
    </cfRule>
    <cfRule type="expression" dxfId="421" priority="527" stopIfTrue="1">
      <formula>$A5="integer"</formula>
    </cfRule>
  </conditionalFormatting>
  <conditionalFormatting sqref="B190:D192 G190:H192">
    <cfRule type="expression" dxfId="420" priority="16" stopIfTrue="1">
      <formula>$A190="decimal"</formula>
    </cfRule>
    <cfRule type="expression" dxfId="419" priority="18" stopIfTrue="1">
      <formula>$A190="integer"</formula>
    </cfRule>
  </conditionalFormatting>
  <conditionalFormatting sqref="C20 C22 C25:C39">
    <cfRule type="expression" dxfId="418" priority="656" stopIfTrue="1">
      <formula>$A20="note"</formula>
    </cfRule>
    <cfRule type="expression" dxfId="417" priority="657" stopIfTrue="1">
      <formula>OR(AND(LEFT($A20, 14)="sensor_stream ", LEN($A20)&gt;14, NOT(ISNUMBER(SEARCH(" ", $A20, 15)))), AND(LEFT($A20, 17)="sensor_statistic ", LEN($A20)&gt;17, NOT(ISNUMBER(SEARCH(" ", $A20, 18)))))</formula>
    </cfRule>
    <cfRule type="expression" dxfId="416" priority="658" stopIfTrue="1">
      <formula>$A20="comments"</formula>
    </cfRule>
    <cfRule type="expression" dxfId="415" priority="659" stopIfTrue="1">
      <formula>OR($A20="audio", $A20="video")</formula>
    </cfRule>
    <cfRule type="expression" dxfId="414" priority="660" stopIfTrue="1">
      <formula>$A20="image"</formula>
    </cfRule>
    <cfRule type="expression" dxfId="413" priority="661" stopIfTrue="1">
      <formula>OR($A20="date", $A20="datetime", $A20="time")</formula>
    </cfRule>
    <cfRule type="expression" dxfId="412" priority="662" stopIfTrue="1">
      <formula>$A20="enumerator"</formula>
    </cfRule>
    <cfRule type="expression" dxfId="411" priority="663" stopIfTrue="1">
      <formula>$A20="file"</formula>
    </cfRule>
    <cfRule type="expression" dxfId="410" priority="664" stopIfTrue="1">
      <formula>$A20="integer"</formula>
    </cfRule>
    <cfRule type="expression" dxfId="409" priority="665" stopIfTrue="1">
      <formula>$A20="begin repeat"</formula>
    </cfRule>
    <cfRule type="expression" dxfId="408" priority="666" stopIfTrue="1">
      <formula>OR($A20="username", $A20="phonenumber", $A20="start", $A20="end", $A20="deviceid", $A20="subscriberid", $A20="simserial", $A20="caseid")</formula>
    </cfRule>
    <cfRule type="expression" dxfId="407" priority="667" stopIfTrue="1">
      <formula>$A20="end repeat"</formula>
    </cfRule>
    <cfRule type="expression" dxfId="406" priority="668" stopIfTrue="1">
      <formula>$A20="end group"</formula>
    </cfRule>
    <cfRule type="expression" dxfId="405" priority="669" stopIfTrue="1">
      <formula>$A20="barcode"</formula>
    </cfRule>
    <cfRule type="expression" dxfId="404" priority="670" stopIfTrue="1">
      <formula>OR($A20="geopoint", $A20="geoshape", $A20="geotrace")</formula>
    </cfRule>
    <cfRule type="expression" dxfId="403" priority="671" stopIfTrue="1">
      <formula>OR($A20="audio audit", $A20="text audit", $A20="speed violations count", $A20="speed violations list", $A20="speed violations audit")</formula>
    </cfRule>
    <cfRule type="expression" dxfId="402" priority="672" stopIfTrue="1">
      <formula>OR(AND(LEFT($A20, 16)="select_multiple ", LEN($A20)&gt;16, NOT(ISNUMBER(SEARCH(" ", $A20, 17)))), AND(LEFT($A20, 11)="select_one ", LEN($A20)&gt;11, NOT(ISNUMBER(SEARCH(" ", $A20, 12)))))</formula>
    </cfRule>
    <cfRule type="expression" dxfId="401" priority="673" stopIfTrue="1">
      <formula>$A20="text"</formula>
    </cfRule>
    <cfRule type="expression" dxfId="400" priority="674" stopIfTrue="1">
      <formula>OR($A20="calculate", $A20="calculate_here")</formula>
    </cfRule>
    <cfRule type="expression" dxfId="399" priority="675" stopIfTrue="1">
      <formula>$A20="begin group"</formula>
    </cfRule>
    <cfRule type="expression" dxfId="398" priority="676" stopIfTrue="1">
      <formula>$A20="decimal"</formula>
    </cfRule>
    <cfRule type="expression" dxfId="397" priority="681" stopIfTrue="1">
      <formula>$A20="begin repeat"</formula>
    </cfRule>
    <cfRule type="expression" dxfId="396" priority="682" stopIfTrue="1">
      <formula>$A20="note"</formula>
    </cfRule>
    <cfRule type="expression" dxfId="395" priority="683" stopIfTrue="1">
      <formula>$A20="barcode"</formula>
    </cfRule>
    <cfRule type="expression" dxfId="394" priority="684" stopIfTrue="1">
      <formula>OR($A20="geopoint", $A20="geoshape", $A20="geotrace")</formula>
    </cfRule>
    <cfRule type="expression" dxfId="393" priority="685" stopIfTrue="1">
      <formula>OR($A20="audio", $A20="video")</formula>
    </cfRule>
    <cfRule type="expression" dxfId="392" priority="686" stopIfTrue="1">
      <formula>$A20="file"</formula>
    </cfRule>
    <cfRule type="expression" dxfId="391" priority="687" stopIfTrue="1">
      <formula>$A20="image"</formula>
    </cfRule>
    <cfRule type="expression" dxfId="390" priority="688" stopIfTrue="1">
      <formula>OR(AND(LEFT($A20, 16)="select_multiple ", LEN($A20)&gt;16, NOT(ISNUMBER(SEARCH(" ", $A20, 17)))), AND(LEFT($A20, 11)="select_one ", LEN($A20)&gt;11, NOT(ISNUMBER(SEARCH(" ", $A20, 12)))))</formula>
    </cfRule>
    <cfRule type="expression" dxfId="389" priority="689" stopIfTrue="1">
      <formula>OR($A20="date", $A20="datetime", $A20="time")</formula>
    </cfRule>
    <cfRule type="expression" dxfId="388" priority="690" stopIfTrue="1">
      <formula>$A20="begin group"</formula>
    </cfRule>
    <cfRule type="expression" dxfId="387" priority="691" stopIfTrue="1">
      <formula>$A20="text"</formula>
    </cfRule>
    <cfRule type="expression" dxfId="386" priority="692" stopIfTrue="1">
      <formula>$A20="enumerator"</formula>
    </cfRule>
    <cfRule type="expression" dxfId="385" priority="693" stopIfTrue="1">
      <formula>$A20="decimal"</formula>
    </cfRule>
    <cfRule type="expression" dxfId="384" priority="694" stopIfTrue="1">
      <formula>$A20="integer"</formula>
    </cfRule>
  </conditionalFormatting>
  <conditionalFormatting sqref="F52:F54">
    <cfRule type="expression" dxfId="383" priority="437" stopIfTrue="1">
      <formula>$A52="enumerator"</formula>
    </cfRule>
    <cfRule type="expression" dxfId="382" priority="438" stopIfTrue="1">
      <formula>$A52="barcode"</formula>
    </cfRule>
    <cfRule type="expression" dxfId="381" priority="439" stopIfTrue="1">
      <formula>OR($A52="geopoint", $A52="geoshape", $A52="geotrace")</formula>
    </cfRule>
    <cfRule type="expression" dxfId="380" priority="440" stopIfTrue="1">
      <formula>$A52="file"</formula>
    </cfRule>
    <cfRule type="expression" dxfId="379" priority="441" stopIfTrue="1">
      <formula>$A52="note"</formula>
    </cfRule>
    <cfRule type="expression" dxfId="378" priority="442" stopIfTrue="1">
      <formula>$A52="begin group"</formula>
    </cfRule>
    <cfRule type="expression" dxfId="377" priority="443" stopIfTrue="1">
      <formula>OR($A52="audio", $A52="video")</formula>
    </cfRule>
    <cfRule type="expression" dxfId="376" priority="444" stopIfTrue="1">
      <formula>OR($A52="audio audit", $A52="text audit", $A52="speed violations count", $A52="speed violations list", $A52="speed violations audit")</formula>
    </cfRule>
    <cfRule type="expression" dxfId="375" priority="445" stopIfTrue="1">
      <formula>OR(AND(LEFT($A52, 16)="select_multiple ", LEN($A52)&gt;16, NOT(ISNUMBER(SEARCH(" ", $A52, 17)))), AND(LEFT($A52, 11)="select_one ", LEN($A52)&gt;11, NOT(ISNUMBER(SEARCH(" ", $A52, 12)))))</formula>
    </cfRule>
    <cfRule type="expression" dxfId="374" priority="446" stopIfTrue="1">
      <formula>$A52="decimal"</formula>
    </cfRule>
    <cfRule type="expression" dxfId="373" priority="447" stopIfTrue="1">
      <formula>$A52="integer"</formula>
    </cfRule>
    <cfRule type="expression" dxfId="372" priority="448" stopIfTrue="1">
      <formula>$A52="text"</formula>
    </cfRule>
    <cfRule type="expression" dxfId="371" priority="449" stopIfTrue="1">
      <formula>$A52="image"</formula>
    </cfRule>
    <cfRule type="expression" dxfId="370" priority="450" stopIfTrue="1">
      <formula>OR($A52="date", $A52="datetime", $A52="time")</formula>
    </cfRule>
    <cfRule type="expression" dxfId="369" priority="451" stopIfTrue="1">
      <formula>OR($A52="calculate", $A52="calculate_here")</formula>
    </cfRule>
    <cfRule type="expression" dxfId="368" priority="452" stopIfTrue="1">
      <formula>OR($A52="username", $A52="phonenumber", $A52="start", $A52="end", $A52="deviceid", $A52="subscriberid", $A52="simserial", $A52="caseid")</formula>
    </cfRule>
    <cfRule type="expression" dxfId="367" priority="453" stopIfTrue="1">
      <formula>$A52="end repeat"</formula>
    </cfRule>
    <cfRule type="expression" dxfId="366" priority="454" stopIfTrue="1">
      <formula>$A52="begin repeat"</formula>
    </cfRule>
    <cfRule type="expression" dxfId="365" priority="455" stopIfTrue="1">
      <formula>$A52="end group"</formula>
    </cfRule>
    <cfRule type="expression" dxfId="364" priority="456" stopIfTrue="1">
      <formula>OR($A52="audio audit", $A52="text audit", $A52="speed violations count", $A52="speed violations list", $A52="speed violations audit")</formula>
    </cfRule>
    <cfRule type="expression" dxfId="363" priority="457" stopIfTrue="1">
      <formula>$A52="begin group"</formula>
    </cfRule>
    <cfRule type="expression" dxfId="362" priority="458" stopIfTrue="1">
      <formula>$A52="image"</formula>
    </cfRule>
    <cfRule type="expression" dxfId="361" priority="459" stopIfTrue="1">
      <formula>OR($A52="date", $A52="datetime", $A52="time")</formula>
    </cfRule>
    <cfRule type="expression" dxfId="360" priority="460" stopIfTrue="1">
      <formula>OR(AND(LEFT($A52, 16)="select_multiple ", LEN($A52)&gt;16, NOT(ISNUMBER(SEARCH(" ", $A52, 17)))), AND(LEFT($A52, 11)="select_one ", LEN($A52)&gt;11, NOT(ISNUMBER(SEARCH(" ", $A52, 12)))))</formula>
    </cfRule>
    <cfRule type="expression" dxfId="359" priority="461" stopIfTrue="1">
      <formula>$A52="text"</formula>
    </cfRule>
    <cfRule type="expression" dxfId="358" priority="462" stopIfTrue="1">
      <formula>$A52="enumerator"</formula>
    </cfRule>
  </conditionalFormatting>
  <conditionalFormatting sqref="I119:I125">
    <cfRule type="expression" dxfId="357" priority="417" stopIfTrue="1">
      <formula>$A119="decimal"</formula>
    </cfRule>
    <cfRule type="expression" dxfId="356" priority="418" stopIfTrue="1">
      <formula>$A119="integer"</formula>
    </cfRule>
    <cfRule type="expression" dxfId="355" priority="419" stopIfTrue="1">
      <formula>$A119="text"</formula>
    </cfRule>
  </conditionalFormatting>
  <conditionalFormatting sqref="N45">
    <cfRule type="expression" dxfId="354" priority="48" stopIfTrue="1">
      <formula>$A45="enumerator"</formula>
    </cfRule>
    <cfRule type="expression" dxfId="353" priority="49" stopIfTrue="1">
      <formula>$A45="barcode"</formula>
    </cfRule>
    <cfRule type="expression" dxfId="352" priority="50" stopIfTrue="1">
      <formula>OR($A45="geopoint", $A45="geoshape", $A45="geotrace")</formula>
    </cfRule>
    <cfRule type="expression" dxfId="351" priority="51" stopIfTrue="1">
      <formula>$A45="file"</formula>
    </cfRule>
    <cfRule type="expression" dxfId="350" priority="52" stopIfTrue="1">
      <formula>$A45="note"</formula>
    </cfRule>
    <cfRule type="expression" dxfId="349" priority="53" stopIfTrue="1">
      <formula>$A45="begin group"</formula>
    </cfRule>
    <cfRule type="expression" dxfId="348" priority="54" stopIfTrue="1">
      <formula>OR($A45="audio", $A45="video")</formula>
    </cfRule>
    <cfRule type="expression" dxfId="347" priority="55" stopIfTrue="1">
      <formula>OR($A45="audio audit", $A45="text audit", $A45="speed violations count", $A45="speed violations list", $A45="speed violations audit")</formula>
    </cfRule>
    <cfRule type="expression" dxfId="346" priority="56" stopIfTrue="1">
      <formula>OR(AND(LEFT($A45, 16)="select_multiple ", LEN($A45)&gt;16, NOT(ISNUMBER(SEARCH(" ", $A45, 17)))), AND(LEFT($A45, 11)="select_one ", LEN($A45)&gt;11, NOT(ISNUMBER(SEARCH(" ", $A45, 12)))))</formula>
    </cfRule>
    <cfRule type="expression" dxfId="345" priority="57" stopIfTrue="1">
      <formula>$A45="decimal"</formula>
    </cfRule>
    <cfRule type="expression" dxfId="344" priority="58" stopIfTrue="1">
      <formula>$A45="integer"</formula>
    </cfRule>
    <cfRule type="expression" dxfId="343" priority="59" stopIfTrue="1">
      <formula>$A45="text"</formula>
    </cfRule>
    <cfRule type="expression" dxfId="342" priority="60" stopIfTrue="1">
      <formula>$A45="image"</formula>
    </cfRule>
    <cfRule type="expression" dxfId="341" priority="61" stopIfTrue="1">
      <formula>OR($A45="date", $A45="datetime", $A45="time")</formula>
    </cfRule>
    <cfRule type="expression" dxfId="340" priority="62" stopIfTrue="1">
      <formula>OR($A45="calculate", $A45="calculate_here")</formula>
    </cfRule>
    <cfRule type="expression" dxfId="339" priority="63" stopIfTrue="1">
      <formula>OR($A45="username", $A45="phonenumber", $A45="start", $A45="end", $A45="deviceid", $A45="subscriberid", $A45="simserial", $A45="caseid")</formula>
    </cfRule>
    <cfRule type="expression" dxfId="338" priority="64" stopIfTrue="1">
      <formula>$A45="end repeat"</formula>
    </cfRule>
    <cfRule type="expression" dxfId="337" priority="65" stopIfTrue="1">
      <formula>$A45="begin repeat"</formula>
    </cfRule>
    <cfRule type="expression" dxfId="336" priority="66" stopIfTrue="1">
      <formula>$A45="end group"</formula>
    </cfRule>
    <cfRule type="expression" dxfId="335" priority="67" stopIfTrue="1">
      <formula>OR($A45="calculate", $A45="calculate_here")</formula>
    </cfRule>
  </conditionalFormatting>
  <conditionalFormatting sqref="N47">
    <cfRule type="expression" dxfId="334" priority="397" stopIfTrue="1">
      <formula>$A47="enumerator"</formula>
    </cfRule>
    <cfRule type="expression" dxfId="333" priority="398" stopIfTrue="1">
      <formula>$A47="barcode"</formula>
    </cfRule>
    <cfRule type="expression" dxfId="332" priority="399" stopIfTrue="1">
      <formula>OR($A47="geopoint", $A47="geoshape", $A47="geotrace")</formula>
    </cfRule>
    <cfRule type="expression" dxfId="331" priority="400" stopIfTrue="1">
      <formula>$A47="file"</formula>
    </cfRule>
    <cfRule type="expression" dxfId="330" priority="401" stopIfTrue="1">
      <formula>$A47="note"</formula>
    </cfRule>
    <cfRule type="expression" dxfId="329" priority="402" stopIfTrue="1">
      <formula>$A47="begin group"</formula>
    </cfRule>
    <cfRule type="expression" dxfId="328" priority="403" stopIfTrue="1">
      <formula>OR($A47="audio", $A47="video")</formula>
    </cfRule>
    <cfRule type="expression" dxfId="327" priority="404" stopIfTrue="1">
      <formula>OR($A47="audio audit", $A47="text audit", $A47="speed violations count", $A47="speed violations list", $A47="speed violations audit")</formula>
    </cfRule>
    <cfRule type="expression" dxfId="326" priority="405" stopIfTrue="1">
      <formula>OR(AND(LEFT($A47, 16)="select_multiple ", LEN($A47)&gt;16, NOT(ISNUMBER(SEARCH(" ", $A47, 17)))), AND(LEFT($A47, 11)="select_one ", LEN($A47)&gt;11, NOT(ISNUMBER(SEARCH(" ", $A47, 12)))))</formula>
    </cfRule>
    <cfRule type="expression" dxfId="325" priority="406" stopIfTrue="1">
      <formula>$A47="decimal"</formula>
    </cfRule>
    <cfRule type="expression" dxfId="324" priority="407" stopIfTrue="1">
      <formula>$A47="integer"</formula>
    </cfRule>
    <cfRule type="expression" dxfId="323" priority="408" stopIfTrue="1">
      <formula>$A47="text"</formula>
    </cfRule>
    <cfRule type="expression" dxfId="322" priority="409" stopIfTrue="1">
      <formula>$A47="image"</formula>
    </cfRule>
    <cfRule type="expression" dxfId="321" priority="410" stopIfTrue="1">
      <formula>OR($A47="date", $A47="datetime", $A47="time")</formula>
    </cfRule>
    <cfRule type="expression" dxfId="320" priority="411" stopIfTrue="1">
      <formula>OR($A47="calculate", $A47="calculate_here")</formula>
    </cfRule>
    <cfRule type="expression" dxfId="319" priority="412" stopIfTrue="1">
      <formula>OR($A47="username", $A47="phonenumber", $A47="start", $A47="end", $A47="deviceid", $A47="subscriberid", $A47="simserial", $A47="caseid")</formula>
    </cfRule>
    <cfRule type="expression" dxfId="318" priority="413" stopIfTrue="1">
      <formula>$A47="end repeat"</formula>
    </cfRule>
    <cfRule type="expression" dxfId="317" priority="414" stopIfTrue="1">
      <formula>$A47="begin repeat"</formula>
    </cfRule>
    <cfRule type="expression" dxfId="316" priority="415" stopIfTrue="1">
      <formula>$A47="end group"</formula>
    </cfRule>
    <cfRule type="expression" dxfId="315" priority="416" stopIfTrue="1">
      <formula>OR($A47="calculate", $A47="calculate_here")</formula>
    </cfRule>
  </conditionalFormatting>
  <conditionalFormatting sqref="N62:N63">
    <cfRule type="expression" dxfId="314" priority="348" stopIfTrue="1">
      <formula>$A62="enumerator"</formula>
    </cfRule>
    <cfRule type="expression" dxfId="313" priority="349" stopIfTrue="1">
      <formula>$A62="barcode"</formula>
    </cfRule>
    <cfRule type="expression" dxfId="312" priority="350" stopIfTrue="1">
      <formula>OR($A62="geopoint", $A62="geoshape", $A62="geotrace")</formula>
    </cfRule>
    <cfRule type="expression" dxfId="311" priority="351" stopIfTrue="1">
      <formula>$A62="file"</formula>
    </cfRule>
    <cfRule type="expression" dxfId="310" priority="352" stopIfTrue="1">
      <formula>$A62="note"</formula>
    </cfRule>
    <cfRule type="expression" dxfId="309" priority="353" stopIfTrue="1">
      <formula>$A62="begin group"</formula>
    </cfRule>
    <cfRule type="expression" dxfId="308" priority="354" stopIfTrue="1">
      <formula>OR($A62="audio", $A62="video")</formula>
    </cfRule>
    <cfRule type="expression" dxfId="307" priority="355" stopIfTrue="1">
      <formula>OR($A62="audio audit", $A62="text audit", $A62="speed violations count", $A62="speed violations list", $A62="speed violations audit")</formula>
    </cfRule>
    <cfRule type="expression" dxfId="306" priority="356" stopIfTrue="1">
      <formula>OR(AND(LEFT($A62, 16)="select_multiple ", LEN($A62)&gt;16, NOT(ISNUMBER(SEARCH(" ", $A62, 17)))), AND(LEFT($A62, 11)="select_one ", LEN($A62)&gt;11, NOT(ISNUMBER(SEARCH(" ", $A62, 12)))))</formula>
    </cfRule>
    <cfRule type="expression" dxfId="305" priority="357" stopIfTrue="1">
      <formula>$A62="decimal"</formula>
    </cfRule>
    <cfRule type="expression" dxfId="304" priority="358" stopIfTrue="1">
      <formula>$A62="integer"</formula>
    </cfRule>
    <cfRule type="expression" dxfId="303" priority="359" stopIfTrue="1">
      <formula>$A62="text"</formula>
    </cfRule>
    <cfRule type="expression" dxfId="302" priority="360" stopIfTrue="1">
      <formula>$A62="image"</formula>
    </cfRule>
    <cfRule type="expression" dxfId="301" priority="361" stopIfTrue="1">
      <formula>OR($A62="date", $A62="datetime", $A62="time")</formula>
    </cfRule>
    <cfRule type="expression" dxfId="300" priority="362" stopIfTrue="1">
      <formula>OR($A62="calculate", $A62="calculate_here")</formula>
    </cfRule>
    <cfRule type="expression" dxfId="299" priority="363" stopIfTrue="1">
      <formula>OR($A62="username", $A62="phonenumber", $A62="start", $A62="end", $A62="deviceid", $A62="subscriberid", $A62="simserial", $A62="caseid")</formula>
    </cfRule>
    <cfRule type="expression" dxfId="298" priority="364" stopIfTrue="1">
      <formula>$A62="end repeat"</formula>
    </cfRule>
    <cfRule type="expression" dxfId="297" priority="365" stopIfTrue="1">
      <formula>$A62="begin repeat"</formula>
    </cfRule>
    <cfRule type="expression" dxfId="296" priority="366" stopIfTrue="1">
      <formula>$A62="end group"</formula>
    </cfRule>
    <cfRule type="expression" dxfId="295" priority="367" stopIfTrue="1">
      <formula>OR($A62="calculate", $A62="calculate_here")</formula>
    </cfRule>
  </conditionalFormatting>
  <conditionalFormatting sqref="N66 N77">
    <cfRule type="expression" dxfId="294" priority="463" stopIfTrue="1">
      <formula>$A66="enumerator"</formula>
    </cfRule>
    <cfRule type="expression" dxfId="293" priority="464" stopIfTrue="1">
      <formula>$A66="barcode"</formula>
    </cfRule>
    <cfRule type="expression" dxfId="292" priority="465" stopIfTrue="1">
      <formula>OR($A66="geopoint", $A66="geoshape", $A66="geotrace")</formula>
    </cfRule>
    <cfRule type="expression" dxfId="291" priority="466" stopIfTrue="1">
      <formula>$A66="file"</formula>
    </cfRule>
    <cfRule type="expression" dxfId="290" priority="467" stopIfTrue="1">
      <formula>$A66="note"</formula>
    </cfRule>
    <cfRule type="expression" dxfId="289" priority="468" stopIfTrue="1">
      <formula>$A66="begin group"</formula>
    </cfRule>
    <cfRule type="expression" dxfId="288" priority="469" stopIfTrue="1">
      <formula>OR($A66="audio", $A66="video")</formula>
    </cfRule>
    <cfRule type="expression" dxfId="287" priority="470" stopIfTrue="1">
      <formula>OR($A66="audio audit", $A66="text audit", $A66="speed violations count", $A66="speed violations list", $A66="speed violations audit")</formula>
    </cfRule>
    <cfRule type="expression" dxfId="286" priority="471" stopIfTrue="1">
      <formula>OR(AND(LEFT($A66, 16)="select_multiple ", LEN($A66)&gt;16, NOT(ISNUMBER(SEARCH(" ", $A66, 17)))), AND(LEFT($A66, 11)="select_one ", LEN($A66)&gt;11, NOT(ISNUMBER(SEARCH(" ", $A66, 12)))))</formula>
    </cfRule>
    <cfRule type="expression" dxfId="285" priority="472" stopIfTrue="1">
      <formula>$A66="decimal"</formula>
    </cfRule>
    <cfRule type="expression" dxfId="284" priority="473" stopIfTrue="1">
      <formula>$A66="integer"</formula>
    </cfRule>
    <cfRule type="expression" dxfId="283" priority="474" stopIfTrue="1">
      <formula>$A66="text"</formula>
    </cfRule>
    <cfRule type="expression" dxfId="282" priority="475" stopIfTrue="1">
      <formula>$A66="image"</formula>
    </cfRule>
    <cfRule type="expression" dxfId="281" priority="476" stopIfTrue="1">
      <formula>OR($A66="date", $A66="datetime", $A66="time")</formula>
    </cfRule>
    <cfRule type="expression" dxfId="280" priority="477" stopIfTrue="1">
      <formula>OR($A66="calculate", $A66="calculate_here")</formula>
    </cfRule>
    <cfRule type="expression" dxfId="279" priority="478" stopIfTrue="1">
      <formula>OR($A66="username", $A66="phonenumber", $A66="start", $A66="end", $A66="deviceid", $A66="subscriberid", $A66="simserial", $A66="caseid")</formula>
    </cfRule>
    <cfRule type="expression" dxfId="278" priority="479" stopIfTrue="1">
      <formula>$A66="end repeat"</formula>
    </cfRule>
    <cfRule type="expression" dxfId="277" priority="480" stopIfTrue="1">
      <formula>$A66="begin repeat"</formula>
    </cfRule>
    <cfRule type="expression" dxfId="276" priority="481" stopIfTrue="1">
      <formula>$A66="end group"</formula>
    </cfRule>
    <cfRule type="expression" dxfId="275" priority="678" stopIfTrue="1">
      <formula>OR($A66="calculate", $A66="calculate_here")</formula>
    </cfRule>
  </conditionalFormatting>
  <conditionalFormatting sqref="N81:N82">
    <cfRule type="expression" dxfId="274" priority="328" stopIfTrue="1">
      <formula>$A81="enumerator"</formula>
    </cfRule>
    <cfRule type="expression" dxfId="273" priority="329" stopIfTrue="1">
      <formula>$A81="barcode"</formula>
    </cfRule>
    <cfRule type="expression" dxfId="272" priority="330" stopIfTrue="1">
      <formula>OR($A81="geopoint", $A81="geoshape", $A81="geotrace")</formula>
    </cfRule>
    <cfRule type="expression" dxfId="271" priority="331" stopIfTrue="1">
      <formula>$A81="file"</formula>
    </cfRule>
    <cfRule type="expression" dxfId="270" priority="332" stopIfTrue="1">
      <formula>$A81="note"</formula>
    </cfRule>
    <cfRule type="expression" dxfId="269" priority="333" stopIfTrue="1">
      <formula>$A81="begin group"</formula>
    </cfRule>
    <cfRule type="expression" dxfId="268" priority="334" stopIfTrue="1">
      <formula>OR($A81="audio", $A81="video")</formula>
    </cfRule>
    <cfRule type="expression" dxfId="267" priority="335" stopIfTrue="1">
      <formula>OR($A81="audio audit", $A81="text audit", $A81="speed violations count", $A81="speed violations list", $A81="speed violations audit")</formula>
    </cfRule>
    <cfRule type="expression" dxfId="266" priority="336" stopIfTrue="1">
      <formula>OR(AND(LEFT($A81, 16)="select_multiple ", LEN($A81)&gt;16, NOT(ISNUMBER(SEARCH(" ", $A81, 17)))), AND(LEFT($A81, 11)="select_one ", LEN($A81)&gt;11, NOT(ISNUMBER(SEARCH(" ", $A81, 12)))))</formula>
    </cfRule>
    <cfRule type="expression" dxfId="265" priority="337" stopIfTrue="1">
      <formula>$A81="decimal"</formula>
    </cfRule>
    <cfRule type="expression" dxfId="264" priority="338" stopIfTrue="1">
      <formula>$A81="integer"</formula>
    </cfRule>
    <cfRule type="expression" dxfId="263" priority="339" stopIfTrue="1">
      <formula>$A81="text"</formula>
    </cfRule>
    <cfRule type="expression" dxfId="262" priority="340" stopIfTrue="1">
      <formula>$A81="image"</formula>
    </cfRule>
    <cfRule type="expression" dxfId="261" priority="341" stopIfTrue="1">
      <formula>OR($A81="date", $A81="datetime", $A81="time")</formula>
    </cfRule>
    <cfRule type="expression" dxfId="260" priority="342" stopIfTrue="1">
      <formula>OR($A81="calculate", $A81="calculate_here")</formula>
    </cfRule>
    <cfRule type="expression" dxfId="259" priority="343" stopIfTrue="1">
      <formula>OR($A81="username", $A81="phonenumber", $A81="start", $A81="end", $A81="deviceid", $A81="subscriberid", $A81="simserial", $A81="caseid")</formula>
    </cfRule>
    <cfRule type="expression" dxfId="258" priority="344" stopIfTrue="1">
      <formula>$A81="end repeat"</formula>
    </cfRule>
    <cfRule type="expression" dxfId="257" priority="345" stopIfTrue="1">
      <formula>$A81="begin repeat"</formula>
    </cfRule>
    <cfRule type="expression" dxfId="256" priority="346" stopIfTrue="1">
      <formula>$A81="end group"</formula>
    </cfRule>
    <cfRule type="expression" dxfId="255" priority="347" stopIfTrue="1">
      <formula>OR($A81="calculate", $A81="calculate_here")</formula>
    </cfRule>
  </conditionalFormatting>
  <conditionalFormatting sqref="N87:N88">
    <cfRule type="expression" dxfId="254" priority="288" stopIfTrue="1">
      <formula>$A87="enumerator"</formula>
    </cfRule>
    <cfRule type="expression" dxfId="253" priority="289" stopIfTrue="1">
      <formula>$A87="barcode"</formula>
    </cfRule>
    <cfRule type="expression" dxfId="252" priority="290" stopIfTrue="1">
      <formula>OR($A87="geopoint", $A87="geoshape", $A87="geotrace")</formula>
    </cfRule>
    <cfRule type="expression" dxfId="251" priority="291" stopIfTrue="1">
      <formula>$A87="file"</formula>
    </cfRule>
    <cfRule type="expression" dxfId="250" priority="292" stopIfTrue="1">
      <formula>$A87="note"</formula>
    </cfRule>
    <cfRule type="expression" dxfId="249" priority="293" stopIfTrue="1">
      <formula>$A87="begin group"</formula>
    </cfRule>
    <cfRule type="expression" dxfId="248" priority="294" stopIfTrue="1">
      <formula>OR($A87="audio", $A87="video")</formula>
    </cfRule>
    <cfRule type="expression" dxfId="247" priority="295" stopIfTrue="1">
      <formula>OR($A87="audio audit", $A87="text audit", $A87="speed violations count", $A87="speed violations list", $A87="speed violations audit")</formula>
    </cfRule>
    <cfRule type="expression" dxfId="246" priority="296" stopIfTrue="1">
      <formula>OR(AND(LEFT($A87, 16)="select_multiple ", LEN($A87)&gt;16, NOT(ISNUMBER(SEARCH(" ", $A87, 17)))), AND(LEFT($A87, 11)="select_one ", LEN($A87)&gt;11, NOT(ISNUMBER(SEARCH(" ", $A87, 12)))))</formula>
    </cfRule>
    <cfRule type="expression" dxfId="245" priority="297" stopIfTrue="1">
      <formula>$A87="decimal"</formula>
    </cfRule>
    <cfRule type="expression" dxfId="244" priority="298" stopIfTrue="1">
      <formula>$A87="integer"</formula>
    </cfRule>
    <cfRule type="expression" dxfId="243" priority="299" stopIfTrue="1">
      <formula>$A87="text"</formula>
    </cfRule>
    <cfRule type="expression" dxfId="242" priority="300" stopIfTrue="1">
      <formula>$A87="image"</formula>
    </cfRule>
    <cfRule type="expression" dxfId="241" priority="301" stopIfTrue="1">
      <formula>OR($A87="date", $A87="datetime", $A87="time")</formula>
    </cfRule>
    <cfRule type="expression" dxfId="240" priority="302" stopIfTrue="1">
      <formula>OR($A87="calculate", $A87="calculate_here")</formula>
    </cfRule>
    <cfRule type="expression" dxfId="239" priority="303" stopIfTrue="1">
      <formula>OR($A87="username", $A87="phonenumber", $A87="start", $A87="end", $A87="deviceid", $A87="subscriberid", $A87="simserial", $A87="caseid")</formula>
    </cfRule>
    <cfRule type="expression" dxfId="238" priority="304" stopIfTrue="1">
      <formula>$A87="end repeat"</formula>
    </cfRule>
    <cfRule type="expression" dxfId="237" priority="305" stopIfTrue="1">
      <formula>$A87="begin repeat"</formula>
    </cfRule>
    <cfRule type="expression" dxfId="236" priority="306" stopIfTrue="1">
      <formula>$A87="end group"</formula>
    </cfRule>
    <cfRule type="expression" dxfId="235" priority="307" stopIfTrue="1">
      <formula>OR($A87="calculate", $A87="calculate_here")</formula>
    </cfRule>
  </conditionalFormatting>
  <conditionalFormatting sqref="N91">
    <cfRule type="expression" dxfId="234" priority="228" stopIfTrue="1">
      <formula>$A91="enumerator"</formula>
    </cfRule>
    <cfRule type="expression" dxfId="233" priority="229" stopIfTrue="1">
      <formula>$A91="barcode"</formula>
    </cfRule>
    <cfRule type="expression" dxfId="232" priority="230" stopIfTrue="1">
      <formula>OR($A91="geopoint", $A91="geoshape", $A91="geotrace")</formula>
    </cfRule>
    <cfRule type="expression" dxfId="231" priority="231" stopIfTrue="1">
      <formula>$A91="file"</formula>
    </cfRule>
    <cfRule type="expression" dxfId="230" priority="232" stopIfTrue="1">
      <formula>$A91="note"</formula>
    </cfRule>
    <cfRule type="expression" dxfId="229" priority="233" stopIfTrue="1">
      <formula>$A91="begin group"</formula>
    </cfRule>
    <cfRule type="expression" dxfId="228" priority="234" stopIfTrue="1">
      <formula>OR($A91="audio", $A91="video")</formula>
    </cfRule>
    <cfRule type="expression" dxfId="227" priority="235" stopIfTrue="1">
      <formula>OR($A91="audio audit", $A91="text audit", $A91="speed violations count", $A91="speed violations list", $A91="speed violations audit")</formula>
    </cfRule>
    <cfRule type="expression" dxfId="226" priority="236" stopIfTrue="1">
      <formula>OR(AND(LEFT($A91, 16)="select_multiple ", LEN($A91)&gt;16, NOT(ISNUMBER(SEARCH(" ", $A91, 17)))), AND(LEFT($A91, 11)="select_one ", LEN($A91)&gt;11, NOT(ISNUMBER(SEARCH(" ", $A91, 12)))))</formula>
    </cfRule>
    <cfRule type="expression" dxfId="225" priority="237" stopIfTrue="1">
      <formula>$A91="decimal"</formula>
    </cfRule>
    <cfRule type="expression" dxfId="224" priority="238" stopIfTrue="1">
      <formula>$A91="integer"</formula>
    </cfRule>
    <cfRule type="expression" dxfId="223" priority="239" stopIfTrue="1">
      <formula>$A91="text"</formula>
    </cfRule>
    <cfRule type="expression" dxfId="222" priority="240" stopIfTrue="1">
      <formula>$A91="image"</formula>
    </cfRule>
    <cfRule type="expression" dxfId="221" priority="241" stopIfTrue="1">
      <formula>OR($A91="date", $A91="datetime", $A91="time")</formula>
    </cfRule>
    <cfRule type="expression" dxfId="220" priority="242" stopIfTrue="1">
      <formula>OR($A91="calculate", $A91="calculate_here")</formula>
    </cfRule>
    <cfRule type="expression" dxfId="219" priority="243" stopIfTrue="1">
      <formula>OR($A91="username", $A91="phonenumber", $A91="start", $A91="end", $A91="deviceid", $A91="subscriberid", $A91="simserial", $A91="caseid")</formula>
    </cfRule>
    <cfRule type="expression" dxfId="218" priority="244" stopIfTrue="1">
      <formula>$A91="end repeat"</formula>
    </cfRule>
    <cfRule type="expression" dxfId="217" priority="245" stopIfTrue="1">
      <formula>$A91="begin repeat"</formula>
    </cfRule>
    <cfRule type="expression" dxfId="216" priority="246" stopIfTrue="1">
      <formula>$A91="end group"</formula>
    </cfRule>
    <cfRule type="expression" dxfId="215" priority="247" stopIfTrue="1">
      <formula>OR($A91="calculate", $A91="calculate_here")</formula>
    </cfRule>
  </conditionalFormatting>
  <conditionalFormatting sqref="N124">
    <cfRule type="expression" dxfId="214" priority="208" stopIfTrue="1">
      <formula>$A124="enumerator"</formula>
    </cfRule>
    <cfRule type="expression" dxfId="213" priority="209" stopIfTrue="1">
      <formula>$A124="barcode"</formula>
    </cfRule>
    <cfRule type="expression" dxfId="212" priority="210" stopIfTrue="1">
      <formula>OR($A124="geopoint", $A124="geoshape", $A124="geotrace")</formula>
    </cfRule>
    <cfRule type="expression" dxfId="211" priority="211" stopIfTrue="1">
      <formula>$A124="file"</formula>
    </cfRule>
    <cfRule type="expression" dxfId="210" priority="212" stopIfTrue="1">
      <formula>$A124="note"</formula>
    </cfRule>
    <cfRule type="expression" dxfId="209" priority="213" stopIfTrue="1">
      <formula>$A124="begin group"</formula>
    </cfRule>
    <cfRule type="expression" dxfId="208" priority="214" stopIfTrue="1">
      <formula>OR($A124="audio", $A124="video")</formula>
    </cfRule>
    <cfRule type="expression" dxfId="207" priority="215" stopIfTrue="1">
      <formula>OR($A124="audio audit", $A124="text audit", $A124="speed violations count", $A124="speed violations list", $A124="speed violations audit")</formula>
    </cfRule>
    <cfRule type="expression" dxfId="206" priority="216" stopIfTrue="1">
      <formula>OR(AND(LEFT($A124, 16)="select_multiple ", LEN($A124)&gt;16, NOT(ISNUMBER(SEARCH(" ", $A124, 17)))), AND(LEFT($A124, 11)="select_one ", LEN($A124)&gt;11, NOT(ISNUMBER(SEARCH(" ", $A124, 12)))))</formula>
    </cfRule>
    <cfRule type="expression" dxfId="205" priority="217" stopIfTrue="1">
      <formula>$A124="decimal"</formula>
    </cfRule>
    <cfRule type="expression" dxfId="204" priority="218" stopIfTrue="1">
      <formula>$A124="integer"</formula>
    </cfRule>
    <cfRule type="expression" dxfId="203" priority="219" stopIfTrue="1">
      <formula>$A124="text"</formula>
    </cfRule>
    <cfRule type="expression" dxfId="202" priority="220" stopIfTrue="1">
      <formula>$A124="image"</formula>
    </cfRule>
    <cfRule type="expression" dxfId="201" priority="221" stopIfTrue="1">
      <formula>OR($A124="date", $A124="datetime", $A124="time")</formula>
    </cfRule>
    <cfRule type="expression" dxfId="200" priority="222" stopIfTrue="1">
      <formula>OR($A124="calculate", $A124="calculate_here")</formula>
    </cfRule>
    <cfRule type="expression" dxfId="199" priority="223" stopIfTrue="1">
      <formula>OR($A124="username", $A124="phonenumber", $A124="start", $A124="end", $A124="deviceid", $A124="subscriberid", $A124="simserial", $A124="caseid")</formula>
    </cfRule>
    <cfRule type="expression" dxfId="198" priority="224" stopIfTrue="1">
      <formula>$A124="end repeat"</formula>
    </cfRule>
    <cfRule type="expression" dxfId="197" priority="225" stopIfTrue="1">
      <formula>$A124="begin repeat"</formula>
    </cfRule>
    <cfRule type="expression" dxfId="196" priority="226" stopIfTrue="1">
      <formula>$A124="end group"</formula>
    </cfRule>
    <cfRule type="expression" dxfId="195" priority="227" stopIfTrue="1">
      <formula>OR($A124="calculate", $A124="calculate_here")</formula>
    </cfRule>
  </conditionalFormatting>
  <conditionalFormatting sqref="N128">
    <cfRule type="expression" dxfId="194" priority="188" stopIfTrue="1">
      <formula>$A128="enumerator"</formula>
    </cfRule>
    <cfRule type="expression" dxfId="193" priority="189" stopIfTrue="1">
      <formula>$A128="barcode"</formula>
    </cfRule>
    <cfRule type="expression" dxfId="192" priority="190" stopIfTrue="1">
      <formula>OR($A128="geopoint", $A128="geoshape", $A128="geotrace")</formula>
    </cfRule>
    <cfRule type="expression" dxfId="191" priority="191" stopIfTrue="1">
      <formula>$A128="file"</formula>
    </cfRule>
    <cfRule type="expression" dxfId="190" priority="192" stopIfTrue="1">
      <formula>$A128="note"</formula>
    </cfRule>
    <cfRule type="expression" dxfId="189" priority="193" stopIfTrue="1">
      <formula>$A128="begin group"</formula>
    </cfRule>
    <cfRule type="expression" dxfId="188" priority="194" stopIfTrue="1">
      <formula>OR($A128="audio", $A128="video")</formula>
    </cfRule>
    <cfRule type="expression" dxfId="187" priority="195" stopIfTrue="1">
      <formula>OR($A128="audio audit", $A128="text audit", $A128="speed violations count", $A128="speed violations list", $A128="speed violations audit")</formula>
    </cfRule>
    <cfRule type="expression" dxfId="186" priority="196" stopIfTrue="1">
      <formula>OR(AND(LEFT($A128, 16)="select_multiple ", LEN($A128)&gt;16, NOT(ISNUMBER(SEARCH(" ", $A128, 17)))), AND(LEFT($A128, 11)="select_one ", LEN($A128)&gt;11, NOT(ISNUMBER(SEARCH(" ", $A128, 12)))))</formula>
    </cfRule>
    <cfRule type="expression" dxfId="185" priority="197" stopIfTrue="1">
      <formula>$A128="decimal"</formula>
    </cfRule>
    <cfRule type="expression" dxfId="184" priority="198" stopIfTrue="1">
      <formula>$A128="integer"</formula>
    </cfRule>
    <cfRule type="expression" dxfId="183" priority="199" stopIfTrue="1">
      <formula>$A128="text"</formula>
    </cfRule>
    <cfRule type="expression" dxfId="182" priority="200" stopIfTrue="1">
      <formula>$A128="image"</formula>
    </cfRule>
    <cfRule type="expression" dxfId="181" priority="201" stopIfTrue="1">
      <formula>OR($A128="date", $A128="datetime", $A128="time")</formula>
    </cfRule>
    <cfRule type="expression" dxfId="180" priority="202" stopIfTrue="1">
      <formula>OR($A128="calculate", $A128="calculate_here")</formula>
    </cfRule>
    <cfRule type="expression" dxfId="179" priority="203" stopIfTrue="1">
      <formula>OR($A128="username", $A128="phonenumber", $A128="start", $A128="end", $A128="deviceid", $A128="subscriberid", $A128="simserial", $A128="caseid")</formula>
    </cfRule>
    <cfRule type="expression" dxfId="178" priority="204" stopIfTrue="1">
      <formula>$A128="end repeat"</formula>
    </cfRule>
    <cfRule type="expression" dxfId="177" priority="205" stopIfTrue="1">
      <formula>$A128="begin repeat"</formula>
    </cfRule>
    <cfRule type="expression" dxfId="176" priority="206" stopIfTrue="1">
      <formula>$A128="end group"</formula>
    </cfRule>
    <cfRule type="expression" dxfId="175" priority="207" stopIfTrue="1">
      <formula>OR($A128="calculate", $A128="calculate_here")</formula>
    </cfRule>
  </conditionalFormatting>
  <conditionalFormatting sqref="N150">
    <cfRule type="expression" dxfId="174" priority="168" stopIfTrue="1">
      <formula>$A150="enumerator"</formula>
    </cfRule>
    <cfRule type="expression" dxfId="173" priority="169" stopIfTrue="1">
      <formula>$A150="barcode"</formula>
    </cfRule>
    <cfRule type="expression" dxfId="172" priority="170" stopIfTrue="1">
      <formula>OR($A150="geopoint", $A150="geoshape", $A150="geotrace")</formula>
    </cfRule>
    <cfRule type="expression" dxfId="171" priority="171" stopIfTrue="1">
      <formula>$A150="file"</formula>
    </cfRule>
    <cfRule type="expression" dxfId="170" priority="172" stopIfTrue="1">
      <formula>$A150="note"</formula>
    </cfRule>
    <cfRule type="expression" dxfId="169" priority="173" stopIfTrue="1">
      <formula>$A150="begin group"</formula>
    </cfRule>
    <cfRule type="expression" dxfId="168" priority="174" stopIfTrue="1">
      <formula>OR($A150="audio", $A150="video")</formula>
    </cfRule>
    <cfRule type="expression" dxfId="167" priority="175" stopIfTrue="1">
      <formula>OR($A150="audio audit", $A150="text audit", $A150="speed violations count", $A150="speed violations list", $A150="speed violations audit")</formula>
    </cfRule>
    <cfRule type="expression" dxfId="166" priority="176" stopIfTrue="1">
      <formula>OR(AND(LEFT($A150, 16)="select_multiple ", LEN($A150)&gt;16, NOT(ISNUMBER(SEARCH(" ", $A150, 17)))), AND(LEFT($A150, 11)="select_one ", LEN($A150)&gt;11, NOT(ISNUMBER(SEARCH(" ", $A150, 12)))))</formula>
    </cfRule>
    <cfRule type="expression" dxfId="165" priority="177" stopIfTrue="1">
      <formula>$A150="decimal"</formula>
    </cfRule>
    <cfRule type="expression" dxfId="164" priority="178" stopIfTrue="1">
      <formula>$A150="integer"</formula>
    </cfRule>
    <cfRule type="expression" dxfId="163" priority="179" stopIfTrue="1">
      <formula>$A150="text"</formula>
    </cfRule>
    <cfRule type="expression" dxfId="162" priority="180" stopIfTrue="1">
      <formula>$A150="image"</formula>
    </cfRule>
    <cfRule type="expression" dxfId="161" priority="181" stopIfTrue="1">
      <formula>OR($A150="date", $A150="datetime", $A150="time")</formula>
    </cfRule>
    <cfRule type="expression" dxfId="160" priority="182" stopIfTrue="1">
      <formula>OR($A150="calculate", $A150="calculate_here")</formula>
    </cfRule>
    <cfRule type="expression" dxfId="159" priority="183" stopIfTrue="1">
      <formula>OR($A150="username", $A150="phonenumber", $A150="start", $A150="end", $A150="deviceid", $A150="subscriberid", $A150="simserial", $A150="caseid")</formula>
    </cfRule>
    <cfRule type="expression" dxfId="158" priority="184" stopIfTrue="1">
      <formula>$A150="end repeat"</formula>
    </cfRule>
    <cfRule type="expression" dxfId="157" priority="185" stopIfTrue="1">
      <formula>$A150="begin repeat"</formula>
    </cfRule>
    <cfRule type="expression" dxfId="156" priority="186" stopIfTrue="1">
      <formula>$A150="end group"</formula>
    </cfRule>
    <cfRule type="expression" dxfId="155" priority="187" stopIfTrue="1">
      <formula>OR($A150="calculate", $A150="calculate_here")</formula>
    </cfRule>
  </conditionalFormatting>
  <conditionalFormatting sqref="N154">
    <cfRule type="expression" dxfId="154" priority="148" stopIfTrue="1">
      <formula>$A154="enumerator"</formula>
    </cfRule>
    <cfRule type="expression" dxfId="153" priority="149" stopIfTrue="1">
      <formula>$A154="barcode"</formula>
    </cfRule>
    <cfRule type="expression" dxfId="152" priority="150" stopIfTrue="1">
      <formula>OR($A154="geopoint", $A154="geoshape", $A154="geotrace")</formula>
    </cfRule>
    <cfRule type="expression" dxfId="151" priority="151" stopIfTrue="1">
      <formula>$A154="file"</formula>
    </cfRule>
    <cfRule type="expression" dxfId="150" priority="152" stopIfTrue="1">
      <formula>$A154="note"</formula>
    </cfRule>
    <cfRule type="expression" dxfId="149" priority="153" stopIfTrue="1">
      <formula>$A154="begin group"</formula>
    </cfRule>
    <cfRule type="expression" dxfId="148" priority="154" stopIfTrue="1">
      <formula>OR($A154="audio", $A154="video")</formula>
    </cfRule>
    <cfRule type="expression" dxfId="147" priority="155" stopIfTrue="1">
      <formula>OR($A154="audio audit", $A154="text audit", $A154="speed violations count", $A154="speed violations list", $A154="speed violations audit")</formula>
    </cfRule>
    <cfRule type="expression" dxfId="146" priority="156" stopIfTrue="1">
      <formula>OR(AND(LEFT($A154, 16)="select_multiple ", LEN($A154)&gt;16, NOT(ISNUMBER(SEARCH(" ", $A154, 17)))), AND(LEFT($A154, 11)="select_one ", LEN($A154)&gt;11, NOT(ISNUMBER(SEARCH(" ", $A154, 12)))))</formula>
    </cfRule>
    <cfRule type="expression" dxfId="145" priority="157" stopIfTrue="1">
      <formula>$A154="decimal"</formula>
    </cfRule>
    <cfRule type="expression" dxfId="144" priority="158" stopIfTrue="1">
      <formula>$A154="integer"</formula>
    </cfRule>
    <cfRule type="expression" dxfId="143" priority="159" stopIfTrue="1">
      <formula>$A154="text"</formula>
    </cfRule>
    <cfRule type="expression" dxfId="142" priority="160" stopIfTrue="1">
      <formula>$A154="image"</formula>
    </cfRule>
    <cfRule type="expression" dxfId="141" priority="161" stopIfTrue="1">
      <formula>OR($A154="date", $A154="datetime", $A154="time")</formula>
    </cfRule>
    <cfRule type="expression" dxfId="140" priority="162" stopIfTrue="1">
      <formula>OR($A154="calculate", $A154="calculate_here")</formula>
    </cfRule>
    <cfRule type="expression" dxfId="139" priority="163" stopIfTrue="1">
      <formula>OR($A154="username", $A154="phonenumber", $A154="start", $A154="end", $A154="deviceid", $A154="subscriberid", $A154="simserial", $A154="caseid")</formula>
    </cfRule>
    <cfRule type="expression" dxfId="138" priority="164" stopIfTrue="1">
      <formula>$A154="end repeat"</formula>
    </cfRule>
    <cfRule type="expression" dxfId="137" priority="165" stopIfTrue="1">
      <formula>$A154="begin repeat"</formula>
    </cfRule>
    <cfRule type="expression" dxfId="136" priority="166" stopIfTrue="1">
      <formula>$A154="end group"</formula>
    </cfRule>
    <cfRule type="expression" dxfId="135" priority="167" stopIfTrue="1">
      <formula>OR($A154="calculate", $A154="calculate_here")</formula>
    </cfRule>
  </conditionalFormatting>
  <conditionalFormatting sqref="N213">
    <cfRule type="expression" dxfId="134" priority="128" stopIfTrue="1">
      <formula>$A213="enumerator"</formula>
    </cfRule>
    <cfRule type="expression" dxfId="133" priority="129" stopIfTrue="1">
      <formula>$A213="barcode"</formula>
    </cfRule>
    <cfRule type="expression" dxfId="132" priority="130" stopIfTrue="1">
      <formula>OR($A213="geopoint", $A213="geoshape", $A213="geotrace")</formula>
    </cfRule>
    <cfRule type="expression" dxfId="131" priority="131" stopIfTrue="1">
      <formula>$A213="file"</formula>
    </cfRule>
    <cfRule type="expression" dxfId="130" priority="132" stopIfTrue="1">
      <formula>$A213="note"</formula>
    </cfRule>
    <cfRule type="expression" dxfId="129" priority="133" stopIfTrue="1">
      <formula>$A213="begin group"</formula>
    </cfRule>
    <cfRule type="expression" dxfId="128" priority="134" stopIfTrue="1">
      <formula>OR($A213="audio", $A213="video")</formula>
    </cfRule>
    <cfRule type="expression" dxfId="127" priority="135" stopIfTrue="1">
      <formula>OR($A213="audio audit", $A213="text audit", $A213="speed violations count", $A213="speed violations list", $A213="speed violations audit")</formula>
    </cfRule>
    <cfRule type="expression" dxfId="126" priority="136" stopIfTrue="1">
      <formula>OR(AND(LEFT($A213, 16)="select_multiple ", LEN($A213)&gt;16, NOT(ISNUMBER(SEARCH(" ", $A213, 17)))), AND(LEFT($A213, 11)="select_one ", LEN($A213)&gt;11, NOT(ISNUMBER(SEARCH(" ", $A213, 12)))))</formula>
    </cfRule>
    <cfRule type="expression" dxfId="125" priority="137" stopIfTrue="1">
      <formula>$A213="decimal"</formula>
    </cfRule>
    <cfRule type="expression" dxfId="124" priority="138" stopIfTrue="1">
      <formula>$A213="integer"</formula>
    </cfRule>
    <cfRule type="expression" dxfId="123" priority="139" stopIfTrue="1">
      <formula>$A213="text"</formula>
    </cfRule>
    <cfRule type="expression" dxfId="122" priority="140" stopIfTrue="1">
      <formula>$A213="image"</formula>
    </cfRule>
    <cfRule type="expression" dxfId="121" priority="141" stopIfTrue="1">
      <formula>OR($A213="date", $A213="datetime", $A213="time")</formula>
    </cfRule>
    <cfRule type="expression" dxfId="120" priority="142" stopIfTrue="1">
      <formula>OR($A213="calculate", $A213="calculate_here")</formula>
    </cfRule>
    <cfRule type="expression" dxfId="119" priority="143" stopIfTrue="1">
      <formula>OR($A213="username", $A213="phonenumber", $A213="start", $A213="end", $A213="deviceid", $A213="subscriberid", $A213="simserial", $A213="caseid")</formula>
    </cfRule>
    <cfRule type="expression" dxfId="118" priority="144" stopIfTrue="1">
      <formula>$A213="end repeat"</formula>
    </cfRule>
    <cfRule type="expression" dxfId="117" priority="145" stopIfTrue="1">
      <formula>$A213="begin repeat"</formula>
    </cfRule>
    <cfRule type="expression" dxfId="116" priority="146" stopIfTrue="1">
      <formula>$A213="end group"</formula>
    </cfRule>
    <cfRule type="expression" dxfId="115" priority="147" stopIfTrue="1">
      <formula>OR($A213="calculate", $A213="calculate_here")</formula>
    </cfRule>
  </conditionalFormatting>
  <conditionalFormatting sqref="N216">
    <cfRule type="expression" dxfId="114" priority="68" stopIfTrue="1">
      <formula>$A216="enumerator"</formula>
    </cfRule>
    <cfRule type="expression" dxfId="113" priority="69" stopIfTrue="1">
      <formula>$A216="barcode"</formula>
    </cfRule>
    <cfRule type="expression" dxfId="112" priority="70" stopIfTrue="1">
      <formula>OR($A216="geopoint", $A216="geoshape", $A216="geotrace")</formula>
    </cfRule>
    <cfRule type="expression" dxfId="111" priority="71" stopIfTrue="1">
      <formula>$A216="file"</formula>
    </cfRule>
    <cfRule type="expression" dxfId="110" priority="72" stopIfTrue="1">
      <formula>$A216="note"</formula>
    </cfRule>
    <cfRule type="expression" dxfId="109" priority="73" stopIfTrue="1">
      <formula>$A216="begin group"</formula>
    </cfRule>
    <cfRule type="expression" dxfId="108" priority="74" stopIfTrue="1">
      <formula>OR($A216="audio", $A216="video")</formula>
    </cfRule>
    <cfRule type="expression" dxfId="107" priority="75" stopIfTrue="1">
      <formula>OR($A216="audio audit", $A216="text audit", $A216="speed violations count", $A216="speed violations list", $A216="speed violations audit")</formula>
    </cfRule>
    <cfRule type="expression" dxfId="106" priority="76" stopIfTrue="1">
      <formula>OR(AND(LEFT($A216, 16)="select_multiple ", LEN($A216)&gt;16, NOT(ISNUMBER(SEARCH(" ", $A216, 17)))), AND(LEFT($A216, 11)="select_one ", LEN($A216)&gt;11, NOT(ISNUMBER(SEARCH(" ", $A216, 12)))))</formula>
    </cfRule>
    <cfRule type="expression" dxfId="105" priority="77" stopIfTrue="1">
      <formula>$A216="decimal"</formula>
    </cfRule>
    <cfRule type="expression" dxfId="104" priority="78" stopIfTrue="1">
      <formula>$A216="integer"</formula>
    </cfRule>
    <cfRule type="expression" dxfId="103" priority="79" stopIfTrue="1">
      <formula>$A216="text"</formula>
    </cfRule>
    <cfRule type="expression" dxfId="102" priority="80" stopIfTrue="1">
      <formula>$A216="image"</formula>
    </cfRule>
    <cfRule type="expression" dxfId="101" priority="81" stopIfTrue="1">
      <formula>OR($A216="date", $A216="datetime", $A216="time")</formula>
    </cfRule>
    <cfRule type="expression" dxfId="100" priority="82" stopIfTrue="1">
      <formula>OR($A216="calculate", $A216="calculate_here")</formula>
    </cfRule>
    <cfRule type="expression" dxfId="99" priority="83" stopIfTrue="1">
      <formula>OR($A216="username", $A216="phonenumber", $A216="start", $A216="end", $A216="deviceid", $A216="subscriberid", $A216="simserial", $A216="caseid")</formula>
    </cfRule>
    <cfRule type="expression" dxfId="98" priority="84" stopIfTrue="1">
      <formula>$A216="end repeat"</formula>
    </cfRule>
    <cfRule type="expression" dxfId="97" priority="85" stopIfTrue="1">
      <formula>$A216="begin repeat"</formula>
    </cfRule>
    <cfRule type="expression" dxfId="96" priority="86" stopIfTrue="1">
      <formula>$A216="end group"</formula>
    </cfRule>
    <cfRule type="expression" dxfId="95" priority="87" stopIfTrue="1">
      <formula>OR($A216="calculate", $A216="calculate_here")</formula>
    </cfRule>
  </conditionalFormatting>
  <pageMargins left="0.74791666666666667" right="0.74791666666666667" top="0.98402777777777772" bottom="0.98402777777777772" header="0.51180555555555551" footer="0.51180555555555551"/>
  <pageSetup firstPageNumber="0" orientation="portrait" horizontalDpi="300" verticalDpi="300" r:id="rId1"/>
  <headerFooter alignWithMargins="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95"/>
  <sheetViews>
    <sheetView zoomScaleNormal="75" zoomScalePageLayoutView="75" workbookViewId="0">
      <pane ySplit="1" topLeftCell="A2" activePane="bottomLeft" state="frozen"/>
      <selection pane="bottomLeft" activeCell="A8" sqref="A8:C13"/>
    </sheetView>
  </sheetViews>
  <sheetFormatPr baseColWidth="10" defaultColWidth="10.875" defaultRowHeight="15.75"/>
  <cols>
    <col min="1" max="1" width="15.5" style="14" bestFit="1" customWidth="1"/>
    <col min="2" max="2" width="14.5" style="14" customWidth="1"/>
    <col min="3" max="3" width="39.625" style="14" customWidth="1"/>
    <col min="4" max="5" width="10.875" style="14"/>
    <col min="6" max="16384" width="10.875" style="1"/>
  </cols>
  <sheetData>
    <row r="1" spans="1:5" s="3" customFormat="1" ht="18" customHeight="1">
      <c r="A1" s="11" t="s">
        <v>23</v>
      </c>
      <c r="B1" s="11" t="s">
        <v>2</v>
      </c>
      <c r="C1" s="12" t="s">
        <v>22</v>
      </c>
      <c r="D1" s="11" t="s">
        <v>24</v>
      </c>
      <c r="E1" s="11"/>
    </row>
    <row r="2" spans="1:5">
      <c r="A2" s="14" t="s">
        <v>293</v>
      </c>
      <c r="B2" s="14">
        <v>1</v>
      </c>
      <c r="C2" s="15" t="s">
        <v>294</v>
      </c>
    </row>
    <row r="3" spans="1:5">
      <c r="A3" s="15" t="s">
        <v>293</v>
      </c>
      <c r="B3" s="14">
        <v>0</v>
      </c>
      <c r="C3" s="15" t="s">
        <v>26</v>
      </c>
    </row>
    <row r="4" spans="1:5">
      <c r="A4" s="15" t="s">
        <v>37</v>
      </c>
      <c r="B4" s="14">
        <v>1</v>
      </c>
      <c r="C4" s="14" t="s">
        <v>297</v>
      </c>
    </row>
    <row r="5" spans="1:5">
      <c r="A5" s="15" t="s">
        <v>37</v>
      </c>
      <c r="B5" s="14">
        <v>0</v>
      </c>
      <c r="C5" s="14" t="s">
        <v>298</v>
      </c>
    </row>
    <row r="6" spans="1:5">
      <c r="A6" s="15" t="s">
        <v>300</v>
      </c>
      <c r="B6" s="14">
        <v>1</v>
      </c>
      <c r="C6" s="14" t="s">
        <v>301</v>
      </c>
    </row>
    <row r="7" spans="1:5">
      <c r="A7" s="15" t="s">
        <v>300</v>
      </c>
      <c r="B7" s="14">
        <v>0</v>
      </c>
      <c r="C7" s="14" t="s">
        <v>302</v>
      </c>
    </row>
    <row r="8" spans="1:5">
      <c r="A8" s="15" t="s">
        <v>320</v>
      </c>
      <c r="B8" s="14">
        <v>1</v>
      </c>
      <c r="C8" s="14" t="s">
        <v>321</v>
      </c>
    </row>
    <row r="9" spans="1:5">
      <c r="A9" s="15" t="s">
        <v>320</v>
      </c>
      <c r="B9" s="14">
        <v>2</v>
      </c>
      <c r="C9" s="14" t="s">
        <v>322</v>
      </c>
    </row>
    <row r="10" spans="1:5">
      <c r="A10" s="15" t="s">
        <v>320</v>
      </c>
      <c r="B10" s="14">
        <v>3</v>
      </c>
      <c r="C10" s="14" t="s">
        <v>325</v>
      </c>
    </row>
    <row r="11" spans="1:5">
      <c r="A11" s="15" t="s">
        <v>320</v>
      </c>
      <c r="B11" s="14">
        <v>4</v>
      </c>
      <c r="C11" s="14" t="s">
        <v>323</v>
      </c>
    </row>
    <row r="12" spans="1:5">
      <c r="A12" s="15" t="s">
        <v>320</v>
      </c>
      <c r="B12" s="14">
        <v>5</v>
      </c>
      <c r="C12" s="14" t="s">
        <v>324</v>
      </c>
    </row>
    <row r="13" spans="1:5">
      <c r="A13" s="15" t="s">
        <v>320</v>
      </c>
      <c r="B13" s="14">
        <v>6</v>
      </c>
      <c r="C13" s="14" t="s">
        <v>729</v>
      </c>
    </row>
    <row r="14" spans="1:5">
      <c r="A14" s="15" t="s">
        <v>337</v>
      </c>
      <c r="B14" s="14" t="s">
        <v>344</v>
      </c>
      <c r="C14" s="14" t="s">
        <v>344</v>
      </c>
    </row>
    <row r="15" spans="1:5">
      <c r="A15" s="15" t="s">
        <v>337</v>
      </c>
      <c r="B15" s="14">
        <v>77</v>
      </c>
      <c r="C15" s="14" t="s">
        <v>733</v>
      </c>
    </row>
    <row r="16" spans="1:5">
      <c r="A16" s="15" t="s">
        <v>340</v>
      </c>
      <c r="B16" s="14" t="s">
        <v>351</v>
      </c>
      <c r="C16" s="14" t="s">
        <v>351</v>
      </c>
    </row>
    <row r="17" spans="1:3">
      <c r="A17" s="14" t="s">
        <v>352</v>
      </c>
      <c r="B17" s="14">
        <v>1</v>
      </c>
      <c r="C17" s="14" t="s">
        <v>772</v>
      </c>
    </row>
    <row r="18" spans="1:3">
      <c r="A18" s="14" t="s">
        <v>352</v>
      </c>
      <c r="B18" s="14">
        <v>2</v>
      </c>
      <c r="C18" s="14" t="s">
        <v>771</v>
      </c>
    </row>
    <row r="19" spans="1:3">
      <c r="A19" s="14" t="s">
        <v>352</v>
      </c>
      <c r="B19" s="14">
        <v>3</v>
      </c>
      <c r="C19" s="14" t="s">
        <v>773</v>
      </c>
    </row>
    <row r="20" spans="1:3">
      <c r="A20" s="14" t="s">
        <v>780</v>
      </c>
      <c r="B20" s="14">
        <v>1</v>
      </c>
      <c r="C20" s="14" t="s">
        <v>781</v>
      </c>
    </row>
    <row r="21" spans="1:3">
      <c r="A21" s="14" t="s">
        <v>780</v>
      </c>
      <c r="B21" s="14">
        <v>2</v>
      </c>
      <c r="C21" s="14" t="s">
        <v>782</v>
      </c>
    </row>
    <row r="22" spans="1:3">
      <c r="A22" s="14" t="s">
        <v>780</v>
      </c>
      <c r="B22" s="14">
        <v>3</v>
      </c>
      <c r="C22" s="14" t="s">
        <v>783</v>
      </c>
    </row>
    <row r="23" spans="1:3">
      <c r="A23" s="14" t="s">
        <v>780</v>
      </c>
      <c r="B23" s="14">
        <v>4</v>
      </c>
      <c r="C23" s="14" t="s">
        <v>784</v>
      </c>
    </row>
    <row r="24" spans="1:3">
      <c r="A24" s="14" t="s">
        <v>364</v>
      </c>
      <c r="B24" s="14">
        <v>1</v>
      </c>
      <c r="C24" s="14" t="s">
        <v>365</v>
      </c>
    </row>
    <row r="25" spans="1:3">
      <c r="A25" s="15" t="s">
        <v>364</v>
      </c>
      <c r="B25" s="14">
        <v>2</v>
      </c>
      <c r="C25" s="14" t="s">
        <v>366</v>
      </c>
    </row>
    <row r="26" spans="1:3">
      <c r="A26" s="15" t="s">
        <v>364</v>
      </c>
      <c r="B26" s="14">
        <v>3</v>
      </c>
      <c r="C26" s="14" t="s">
        <v>367</v>
      </c>
    </row>
    <row r="27" spans="1:3">
      <c r="A27" s="14" t="s">
        <v>370</v>
      </c>
      <c r="B27" s="14">
        <v>1</v>
      </c>
      <c r="C27" s="14" t="s">
        <v>371</v>
      </c>
    </row>
    <row r="28" spans="1:3">
      <c r="A28" s="14" t="s">
        <v>370</v>
      </c>
      <c r="B28" s="14">
        <v>2</v>
      </c>
      <c r="C28" s="14" t="s">
        <v>372</v>
      </c>
    </row>
    <row r="29" spans="1:3">
      <c r="A29" s="14" t="s">
        <v>370</v>
      </c>
      <c r="B29" s="14">
        <v>3</v>
      </c>
      <c r="C29" s="14" t="s">
        <v>373</v>
      </c>
    </row>
    <row r="30" spans="1:3">
      <c r="A30" s="14" t="s">
        <v>370</v>
      </c>
      <c r="B30" s="14">
        <v>4</v>
      </c>
      <c r="C30" s="14" t="s">
        <v>374</v>
      </c>
    </row>
    <row r="31" spans="1:3">
      <c r="A31" s="14" t="s">
        <v>370</v>
      </c>
      <c r="B31" s="14">
        <v>5</v>
      </c>
      <c r="C31" s="14" t="s">
        <v>375</v>
      </c>
    </row>
    <row r="32" spans="1:3">
      <c r="A32" s="14" t="s">
        <v>370</v>
      </c>
      <c r="B32" s="14">
        <v>6</v>
      </c>
      <c r="C32" s="14" t="s">
        <v>376</v>
      </c>
    </row>
    <row r="33" spans="1:3">
      <c r="A33" s="14" t="s">
        <v>380</v>
      </c>
      <c r="B33" s="14">
        <v>1</v>
      </c>
      <c r="C33" s="14" t="s">
        <v>381</v>
      </c>
    </row>
    <row r="34" spans="1:3">
      <c r="A34" s="14" t="s">
        <v>380</v>
      </c>
      <c r="B34" s="14">
        <v>2</v>
      </c>
      <c r="C34" s="14" t="s">
        <v>382</v>
      </c>
    </row>
    <row r="35" spans="1:3">
      <c r="A35" s="14" t="s">
        <v>380</v>
      </c>
      <c r="B35" s="14">
        <v>3</v>
      </c>
      <c r="C35" s="14" t="s">
        <v>383</v>
      </c>
    </row>
    <row r="36" spans="1:3">
      <c r="A36" s="14" t="s">
        <v>380</v>
      </c>
      <c r="B36" s="14">
        <v>4</v>
      </c>
      <c r="C36" s="14" t="s">
        <v>385</v>
      </c>
    </row>
    <row r="37" spans="1:3">
      <c r="A37" s="14" t="s">
        <v>380</v>
      </c>
      <c r="B37" s="14">
        <v>88</v>
      </c>
      <c r="C37" s="14" t="s">
        <v>384</v>
      </c>
    </row>
    <row r="38" spans="1:3">
      <c r="A38" s="14" t="s">
        <v>395</v>
      </c>
      <c r="B38" s="14">
        <v>1</v>
      </c>
      <c r="C38" s="14" t="s">
        <v>405</v>
      </c>
    </row>
    <row r="39" spans="1:3">
      <c r="A39" s="14" t="s">
        <v>395</v>
      </c>
      <c r="B39" s="14">
        <v>2</v>
      </c>
      <c r="C39" s="14" t="s">
        <v>396</v>
      </c>
    </row>
    <row r="40" spans="1:3">
      <c r="A40" s="14" t="s">
        <v>395</v>
      </c>
      <c r="B40" s="14">
        <v>3</v>
      </c>
      <c r="C40" s="14" t="s">
        <v>397</v>
      </c>
    </row>
    <row r="41" spans="1:3">
      <c r="A41" s="14" t="s">
        <v>395</v>
      </c>
      <c r="B41" s="14">
        <v>4</v>
      </c>
      <c r="C41" s="14" t="s">
        <v>398</v>
      </c>
    </row>
    <row r="42" spans="1:3">
      <c r="A42" s="14" t="s">
        <v>395</v>
      </c>
      <c r="B42" s="14">
        <v>5</v>
      </c>
      <c r="C42" s="14" t="s">
        <v>399</v>
      </c>
    </row>
    <row r="43" spans="1:3">
      <c r="A43" s="14" t="s">
        <v>395</v>
      </c>
      <c r="B43" s="14">
        <v>6</v>
      </c>
      <c r="C43" s="14" t="s">
        <v>400</v>
      </c>
    </row>
    <row r="44" spans="1:3">
      <c r="A44" s="14" t="s">
        <v>395</v>
      </c>
      <c r="B44" s="14">
        <v>7</v>
      </c>
      <c r="C44" s="14" t="s">
        <v>401</v>
      </c>
    </row>
    <row r="45" spans="1:3">
      <c r="A45" s="14" t="s">
        <v>395</v>
      </c>
      <c r="B45" s="14">
        <v>8</v>
      </c>
      <c r="C45" s="14" t="s">
        <v>402</v>
      </c>
    </row>
    <row r="46" spans="1:3">
      <c r="A46" s="14" t="s">
        <v>395</v>
      </c>
      <c r="B46" s="14">
        <v>9</v>
      </c>
      <c r="C46" s="14" t="s">
        <v>403</v>
      </c>
    </row>
    <row r="47" spans="1:3">
      <c r="A47" s="14" t="s">
        <v>407</v>
      </c>
      <c r="B47" s="14">
        <v>1</v>
      </c>
      <c r="C47" s="14" t="s">
        <v>408</v>
      </c>
    </row>
    <row r="48" spans="1:3">
      <c r="A48" s="14" t="s">
        <v>407</v>
      </c>
      <c r="B48" s="14">
        <v>2</v>
      </c>
      <c r="C48" s="14" t="s">
        <v>409</v>
      </c>
    </row>
    <row r="49" spans="1:3">
      <c r="A49" s="14" t="s">
        <v>411</v>
      </c>
      <c r="B49" s="14">
        <v>1</v>
      </c>
      <c r="C49" s="14" t="s">
        <v>412</v>
      </c>
    </row>
    <row r="50" spans="1:3">
      <c r="A50" s="14" t="s">
        <v>411</v>
      </c>
      <c r="B50" s="14">
        <v>2</v>
      </c>
      <c r="C50" s="14" t="s">
        <v>413</v>
      </c>
    </row>
    <row r="51" spans="1:3">
      <c r="A51" s="14" t="s">
        <v>411</v>
      </c>
      <c r="B51" s="14">
        <v>3</v>
      </c>
      <c r="C51" s="14" t="s">
        <v>722</v>
      </c>
    </row>
    <row r="52" spans="1:3">
      <c r="A52" s="14" t="s">
        <v>411</v>
      </c>
      <c r="B52" s="14">
        <v>66</v>
      </c>
      <c r="C52" s="14" t="s">
        <v>414</v>
      </c>
    </row>
    <row r="53" spans="1:3">
      <c r="A53" s="14" t="s">
        <v>422</v>
      </c>
      <c r="B53" s="14">
        <v>1</v>
      </c>
      <c r="C53" s="14" t="s">
        <v>423</v>
      </c>
    </row>
    <row r="54" spans="1:3">
      <c r="A54" s="14" t="s">
        <v>422</v>
      </c>
      <c r="B54" s="14">
        <v>2</v>
      </c>
      <c r="C54" s="14" t="s">
        <v>424</v>
      </c>
    </row>
    <row r="55" spans="1:3">
      <c r="A55" s="14" t="s">
        <v>422</v>
      </c>
      <c r="B55" s="14">
        <v>3</v>
      </c>
      <c r="C55" s="14" t="s">
        <v>425</v>
      </c>
    </row>
    <row r="56" spans="1:3">
      <c r="A56" s="14" t="s">
        <v>422</v>
      </c>
      <c r="B56" s="14">
        <v>66</v>
      </c>
      <c r="C56" s="14" t="s">
        <v>426</v>
      </c>
    </row>
    <row r="57" spans="1:3">
      <c r="A57" s="14" t="s">
        <v>437</v>
      </c>
      <c r="B57" s="14">
        <v>1</v>
      </c>
      <c r="C57" s="14" t="s">
        <v>438</v>
      </c>
    </row>
    <row r="58" spans="1:3">
      <c r="A58" s="14" t="s">
        <v>437</v>
      </c>
      <c r="B58" s="14">
        <v>2</v>
      </c>
      <c r="C58" s="14" t="s">
        <v>439</v>
      </c>
    </row>
    <row r="59" spans="1:3">
      <c r="A59" s="14" t="s">
        <v>437</v>
      </c>
      <c r="B59" s="14">
        <v>3</v>
      </c>
      <c r="C59" s="14" t="s">
        <v>440</v>
      </c>
    </row>
    <row r="60" spans="1:3">
      <c r="A60" s="14" t="s">
        <v>437</v>
      </c>
      <c r="B60" s="14">
        <v>4</v>
      </c>
      <c r="C60" s="14" t="s">
        <v>441</v>
      </c>
    </row>
    <row r="61" spans="1:3">
      <c r="A61" s="14" t="s">
        <v>437</v>
      </c>
      <c r="B61" s="14">
        <v>5</v>
      </c>
      <c r="C61" s="14" t="s">
        <v>442</v>
      </c>
    </row>
    <row r="62" spans="1:3">
      <c r="A62" s="14" t="s">
        <v>437</v>
      </c>
      <c r="B62" s="14">
        <v>6</v>
      </c>
      <c r="C62" s="14" t="s">
        <v>443</v>
      </c>
    </row>
    <row r="63" spans="1:3">
      <c r="A63" s="14" t="s">
        <v>437</v>
      </c>
      <c r="B63" s="14">
        <v>7</v>
      </c>
      <c r="C63" s="14" t="s">
        <v>444</v>
      </c>
    </row>
    <row r="64" spans="1:3">
      <c r="A64" s="14" t="s">
        <v>437</v>
      </c>
      <c r="B64" s="14">
        <v>8</v>
      </c>
      <c r="C64" s="14" t="s">
        <v>445</v>
      </c>
    </row>
    <row r="65" spans="1:3">
      <c r="A65" s="14" t="s">
        <v>437</v>
      </c>
      <c r="B65" s="14">
        <v>9</v>
      </c>
      <c r="C65" s="14" t="s">
        <v>446</v>
      </c>
    </row>
    <row r="66" spans="1:3">
      <c r="A66" s="14" t="s">
        <v>437</v>
      </c>
      <c r="B66" s="14">
        <v>10</v>
      </c>
      <c r="C66" s="14" t="s">
        <v>447</v>
      </c>
    </row>
    <row r="67" spans="1:3">
      <c r="A67" s="14" t="s">
        <v>437</v>
      </c>
      <c r="B67" s="14">
        <v>11</v>
      </c>
      <c r="C67" s="14" t="s">
        <v>448</v>
      </c>
    </row>
    <row r="68" spans="1:3">
      <c r="A68" s="14" t="s">
        <v>437</v>
      </c>
      <c r="B68" s="14">
        <v>12</v>
      </c>
      <c r="C68" s="14" t="s">
        <v>449</v>
      </c>
    </row>
    <row r="69" spans="1:3">
      <c r="A69" s="14" t="s">
        <v>437</v>
      </c>
      <c r="B69" s="14">
        <v>13</v>
      </c>
      <c r="C69" s="14" t="s">
        <v>450</v>
      </c>
    </row>
    <row r="70" spans="1:3">
      <c r="A70" s="14" t="s">
        <v>437</v>
      </c>
      <c r="B70" s="14">
        <v>14</v>
      </c>
      <c r="C70" s="14" t="s">
        <v>451</v>
      </c>
    </row>
    <row r="71" spans="1:3">
      <c r="A71" s="14" t="s">
        <v>437</v>
      </c>
      <c r="B71" s="14">
        <v>15</v>
      </c>
      <c r="C71" s="14" t="s">
        <v>452</v>
      </c>
    </row>
    <row r="72" spans="1:3">
      <c r="A72" s="14" t="s">
        <v>437</v>
      </c>
      <c r="B72" s="14">
        <v>16</v>
      </c>
      <c r="C72" s="14" t="s">
        <v>453</v>
      </c>
    </row>
    <row r="73" spans="1:3">
      <c r="A73" s="14" t="s">
        <v>437</v>
      </c>
      <c r="B73" s="14">
        <v>17</v>
      </c>
      <c r="C73" s="14" t="s">
        <v>454</v>
      </c>
    </row>
    <row r="74" spans="1:3">
      <c r="A74" s="14" t="s">
        <v>464</v>
      </c>
      <c r="B74" s="14">
        <v>1</v>
      </c>
      <c r="C74" s="53" t="s">
        <v>454</v>
      </c>
    </row>
    <row r="75" spans="1:3">
      <c r="A75" s="14" t="s">
        <v>464</v>
      </c>
      <c r="B75" s="14">
        <v>2</v>
      </c>
      <c r="C75" s="53" t="s">
        <v>455</v>
      </c>
    </row>
    <row r="76" spans="1:3">
      <c r="A76" s="14" t="s">
        <v>464</v>
      </c>
      <c r="B76" s="14">
        <v>3</v>
      </c>
      <c r="C76" s="53" t="s">
        <v>456</v>
      </c>
    </row>
    <row r="77" spans="1:3">
      <c r="A77" s="14" t="s">
        <v>464</v>
      </c>
      <c r="B77" s="14">
        <v>4</v>
      </c>
      <c r="C77" s="53" t="s">
        <v>457</v>
      </c>
    </row>
    <row r="78" spans="1:3">
      <c r="A78" s="14" t="s">
        <v>464</v>
      </c>
      <c r="B78" s="14">
        <v>5</v>
      </c>
      <c r="C78" s="53" t="s">
        <v>458</v>
      </c>
    </row>
    <row r="79" spans="1:3">
      <c r="A79" s="14" t="s">
        <v>464</v>
      </c>
      <c r="B79" s="14">
        <v>6</v>
      </c>
      <c r="C79" s="53" t="s">
        <v>459</v>
      </c>
    </row>
    <row r="80" spans="1:3">
      <c r="A80" s="14" t="s">
        <v>464</v>
      </c>
      <c r="B80" s="14">
        <v>7</v>
      </c>
      <c r="C80" s="53" t="s">
        <v>460</v>
      </c>
    </row>
    <row r="81" spans="1:3">
      <c r="A81" s="14" t="s">
        <v>464</v>
      </c>
      <c r="B81" s="14">
        <v>8</v>
      </c>
      <c r="C81" s="53" t="s">
        <v>461</v>
      </c>
    </row>
    <row r="82" spans="1:3">
      <c r="A82" s="14" t="s">
        <v>464</v>
      </c>
      <c r="B82" s="14">
        <v>9</v>
      </c>
      <c r="C82" s="53" t="s">
        <v>462</v>
      </c>
    </row>
    <row r="83" spans="1:3">
      <c r="A83" s="14" t="s">
        <v>464</v>
      </c>
      <c r="B83" s="14">
        <v>99</v>
      </c>
      <c r="C83" s="53" t="s">
        <v>463</v>
      </c>
    </row>
    <row r="84" spans="1:3">
      <c r="A84" s="14" t="s">
        <v>469</v>
      </c>
      <c r="B84" s="14">
        <v>1</v>
      </c>
      <c r="C84" s="14" t="s">
        <v>470</v>
      </c>
    </row>
    <row r="85" spans="1:3">
      <c r="A85" s="14" t="s">
        <v>469</v>
      </c>
      <c r="B85" s="14">
        <v>2</v>
      </c>
      <c r="C85" s="14" t="s">
        <v>471</v>
      </c>
    </row>
    <row r="86" spans="1:3">
      <c r="A86" s="14" t="s">
        <v>469</v>
      </c>
      <c r="B86" s="14">
        <v>3</v>
      </c>
      <c r="C86" s="14" t="s">
        <v>472</v>
      </c>
    </row>
    <row r="87" spans="1:3">
      <c r="A87" s="14" t="s">
        <v>469</v>
      </c>
      <c r="B87" s="14">
        <v>4</v>
      </c>
      <c r="C87" s="14" t="s">
        <v>473</v>
      </c>
    </row>
    <row r="88" spans="1:3">
      <c r="A88" s="14" t="s">
        <v>474</v>
      </c>
      <c r="B88" s="14">
        <v>1</v>
      </c>
      <c r="C88" s="14" t="s">
        <v>475</v>
      </c>
    </row>
    <row r="89" spans="1:3">
      <c r="A89" s="14" t="s">
        <v>474</v>
      </c>
      <c r="B89" s="14">
        <v>2</v>
      </c>
      <c r="C89" s="14" t="s">
        <v>476</v>
      </c>
    </row>
    <row r="90" spans="1:3">
      <c r="A90" s="14" t="s">
        <v>474</v>
      </c>
      <c r="B90" s="14">
        <v>3</v>
      </c>
      <c r="C90" s="14" t="s">
        <v>477</v>
      </c>
    </row>
    <row r="91" spans="1:3">
      <c r="A91" s="14" t="s">
        <v>474</v>
      </c>
      <c r="B91" s="14">
        <v>4</v>
      </c>
      <c r="C91" s="14" t="s">
        <v>478</v>
      </c>
    </row>
    <row r="92" spans="1:3">
      <c r="A92" s="14" t="s">
        <v>474</v>
      </c>
      <c r="B92" s="14">
        <v>5</v>
      </c>
      <c r="C92" s="14" t="s">
        <v>479</v>
      </c>
    </row>
    <row r="93" spans="1:3">
      <c r="A93" s="14" t="s">
        <v>474</v>
      </c>
      <c r="B93" s="14">
        <v>6</v>
      </c>
      <c r="C93" s="14" t="s">
        <v>480</v>
      </c>
    </row>
    <row r="94" spans="1:3">
      <c r="A94" s="14" t="s">
        <v>474</v>
      </c>
      <c r="B94" s="14">
        <v>66</v>
      </c>
      <c r="C94" s="14" t="s">
        <v>414</v>
      </c>
    </row>
    <row r="95" spans="1:3">
      <c r="A95" s="14" t="s">
        <v>482</v>
      </c>
      <c r="B95" s="14">
        <v>1</v>
      </c>
      <c r="C95" s="14" t="s">
        <v>294</v>
      </c>
    </row>
    <row r="96" spans="1:3">
      <c r="A96" s="14" t="s">
        <v>482</v>
      </c>
      <c r="B96" s="14">
        <v>2</v>
      </c>
      <c r="C96" s="14" t="s">
        <v>26</v>
      </c>
    </row>
    <row r="97" spans="1:3">
      <c r="A97" s="14" t="s">
        <v>482</v>
      </c>
      <c r="B97" s="14">
        <v>3</v>
      </c>
      <c r="C97" s="14" t="s">
        <v>485</v>
      </c>
    </row>
    <row r="98" spans="1:3">
      <c r="A98" s="14" t="s">
        <v>482</v>
      </c>
      <c r="B98" s="14">
        <v>99</v>
      </c>
      <c r="C98" s="14" t="s">
        <v>463</v>
      </c>
    </row>
    <row r="99" spans="1:3">
      <c r="A99" s="14" t="s">
        <v>518</v>
      </c>
      <c r="B99" s="14">
        <v>1</v>
      </c>
      <c r="C99" s="14" t="s">
        <v>519</v>
      </c>
    </row>
    <row r="100" spans="1:3">
      <c r="A100" s="14" t="s">
        <v>518</v>
      </c>
      <c r="B100" s="14">
        <v>2</v>
      </c>
      <c r="C100" s="14" t="s">
        <v>520</v>
      </c>
    </row>
    <row r="101" spans="1:3">
      <c r="A101" s="14" t="s">
        <v>518</v>
      </c>
      <c r="B101" s="14">
        <v>3</v>
      </c>
      <c r="C101" s="14" t="s">
        <v>521</v>
      </c>
    </row>
    <row r="102" spans="1:3">
      <c r="A102" s="14" t="s">
        <v>518</v>
      </c>
      <c r="B102" s="14">
        <v>4</v>
      </c>
      <c r="C102" s="14" t="s">
        <v>522</v>
      </c>
    </row>
    <row r="103" spans="1:3">
      <c r="A103" s="14" t="s">
        <v>518</v>
      </c>
      <c r="B103" s="14">
        <v>5</v>
      </c>
      <c r="C103" s="14" t="s">
        <v>523</v>
      </c>
    </row>
    <row r="104" spans="1:3">
      <c r="A104" s="14" t="s">
        <v>518</v>
      </c>
      <c r="B104" s="14">
        <v>99</v>
      </c>
      <c r="C104" s="14" t="s">
        <v>524</v>
      </c>
    </row>
    <row r="105" spans="1:3">
      <c r="A105" s="14" t="s">
        <v>529</v>
      </c>
      <c r="B105" s="14">
        <v>1</v>
      </c>
      <c r="C105" s="14" t="s">
        <v>530</v>
      </c>
    </row>
    <row r="106" spans="1:3">
      <c r="A106" s="14" t="s">
        <v>529</v>
      </c>
      <c r="B106" s="14">
        <v>2</v>
      </c>
      <c r="C106" s="14" t="s">
        <v>531</v>
      </c>
    </row>
    <row r="107" spans="1:3">
      <c r="A107" s="14" t="s">
        <v>529</v>
      </c>
      <c r="B107" s="14">
        <v>3</v>
      </c>
      <c r="C107" s="14" t="s">
        <v>532</v>
      </c>
    </row>
    <row r="108" spans="1:3">
      <c r="A108" s="14" t="s">
        <v>529</v>
      </c>
      <c r="B108" s="14">
        <v>4</v>
      </c>
      <c r="C108" s="14" t="s">
        <v>737</v>
      </c>
    </row>
    <row r="109" spans="1:3">
      <c r="A109" s="14" t="s">
        <v>536</v>
      </c>
      <c r="B109" s="14">
        <v>1</v>
      </c>
      <c r="C109" s="14" t="s">
        <v>806</v>
      </c>
    </row>
    <row r="110" spans="1:3">
      <c r="A110" s="14" t="s">
        <v>536</v>
      </c>
      <c r="B110" s="14">
        <v>2</v>
      </c>
      <c r="C110" s="14" t="s">
        <v>807</v>
      </c>
    </row>
    <row r="111" spans="1:3">
      <c r="A111" s="14" t="s">
        <v>536</v>
      </c>
      <c r="B111" s="14">
        <v>3</v>
      </c>
      <c r="C111" s="14" t="s">
        <v>600</v>
      </c>
    </row>
    <row r="112" spans="1:3">
      <c r="A112" s="14" t="s">
        <v>536</v>
      </c>
      <c r="B112" s="14">
        <v>4</v>
      </c>
      <c r="C112" s="14" t="s">
        <v>601</v>
      </c>
    </row>
    <row r="113" spans="1:3">
      <c r="A113" s="14" t="s">
        <v>536</v>
      </c>
      <c r="B113" s="14">
        <v>3</v>
      </c>
      <c r="C113" s="14" t="s">
        <v>537</v>
      </c>
    </row>
    <row r="114" spans="1:3">
      <c r="A114" s="14" t="s">
        <v>536</v>
      </c>
      <c r="B114" s="14">
        <v>99</v>
      </c>
      <c r="C114" s="14" t="s">
        <v>524</v>
      </c>
    </row>
    <row r="115" spans="1:3">
      <c r="A115" s="14" t="s">
        <v>543</v>
      </c>
      <c r="B115" s="14">
        <v>0</v>
      </c>
      <c r="C115" s="14" t="s">
        <v>571</v>
      </c>
    </row>
    <row r="116" spans="1:3">
      <c r="A116" s="14" t="s">
        <v>543</v>
      </c>
      <c r="B116" s="14">
        <v>1</v>
      </c>
      <c r="C116" s="14" t="s">
        <v>572</v>
      </c>
    </row>
    <row r="117" spans="1:3">
      <c r="A117" s="14" t="s">
        <v>543</v>
      </c>
      <c r="B117" s="14">
        <v>2</v>
      </c>
      <c r="C117" s="14" t="s">
        <v>573</v>
      </c>
    </row>
    <row r="118" spans="1:3">
      <c r="A118" s="14" t="s">
        <v>543</v>
      </c>
      <c r="B118" s="14">
        <v>3</v>
      </c>
      <c r="C118" s="14" t="s">
        <v>574</v>
      </c>
    </row>
    <row r="119" spans="1:3">
      <c r="A119" s="14" t="s">
        <v>543</v>
      </c>
      <c r="B119" s="14">
        <v>4</v>
      </c>
      <c r="C119" s="14" t="s">
        <v>575</v>
      </c>
    </row>
    <row r="120" spans="1:3">
      <c r="A120" s="14" t="s">
        <v>543</v>
      </c>
      <c r="B120" s="14">
        <v>5</v>
      </c>
      <c r="C120" s="14" t="s">
        <v>576</v>
      </c>
    </row>
    <row r="121" spans="1:3">
      <c r="A121" s="14" t="s">
        <v>543</v>
      </c>
      <c r="B121" s="14">
        <v>6</v>
      </c>
      <c r="C121" s="14" t="s">
        <v>577</v>
      </c>
    </row>
    <row r="122" spans="1:3">
      <c r="A122" s="14" t="s">
        <v>543</v>
      </c>
      <c r="B122" s="14">
        <v>7</v>
      </c>
      <c r="C122" s="14" t="s">
        <v>578</v>
      </c>
    </row>
    <row r="123" spans="1:3">
      <c r="A123" s="14" t="s">
        <v>587</v>
      </c>
      <c r="B123" s="14">
        <v>1</v>
      </c>
      <c r="C123" s="14" t="s">
        <v>588</v>
      </c>
    </row>
    <row r="124" spans="1:3">
      <c r="A124" s="14" t="s">
        <v>587</v>
      </c>
      <c r="B124" s="14">
        <v>2</v>
      </c>
      <c r="C124" s="14" t="s">
        <v>589</v>
      </c>
    </row>
    <row r="125" spans="1:3">
      <c r="A125" s="14" t="s">
        <v>587</v>
      </c>
      <c r="B125" s="14">
        <v>3</v>
      </c>
      <c r="C125" s="14" t="s">
        <v>590</v>
      </c>
    </row>
    <row r="126" spans="1:3">
      <c r="A126" s="14" t="s">
        <v>616</v>
      </c>
      <c r="B126" s="14">
        <v>1</v>
      </c>
      <c r="C126" s="14" t="s">
        <v>598</v>
      </c>
    </row>
    <row r="127" spans="1:3">
      <c r="A127" s="14" t="s">
        <v>616</v>
      </c>
      <c r="B127" s="14">
        <v>2</v>
      </c>
      <c r="C127" s="14" t="s">
        <v>599</v>
      </c>
    </row>
    <row r="128" spans="1:3">
      <c r="A128" s="14" t="s">
        <v>616</v>
      </c>
      <c r="B128" s="14">
        <v>3</v>
      </c>
      <c r="C128" s="14" t="s">
        <v>600</v>
      </c>
    </row>
    <row r="129" spans="1:3">
      <c r="A129" s="14" t="s">
        <v>616</v>
      </c>
      <c r="B129" s="14">
        <v>4</v>
      </c>
      <c r="C129" s="14" t="s">
        <v>601</v>
      </c>
    </row>
    <row r="130" spans="1:3">
      <c r="A130" s="14" t="s">
        <v>616</v>
      </c>
      <c r="B130" s="14">
        <v>5</v>
      </c>
      <c r="C130" s="14" t="s">
        <v>602</v>
      </c>
    </row>
    <row r="131" spans="1:3">
      <c r="A131" s="14" t="s">
        <v>617</v>
      </c>
      <c r="B131" s="14">
        <v>1</v>
      </c>
      <c r="C131" s="14" t="s">
        <v>603</v>
      </c>
    </row>
    <row r="132" spans="1:3">
      <c r="A132" s="14" t="s">
        <v>617</v>
      </c>
      <c r="B132" s="14">
        <v>2</v>
      </c>
      <c r="C132" s="14" t="s">
        <v>604</v>
      </c>
    </row>
    <row r="133" spans="1:3">
      <c r="A133" s="14" t="s">
        <v>617</v>
      </c>
      <c r="B133" s="14">
        <v>3</v>
      </c>
      <c r="C133" s="14" t="s">
        <v>605</v>
      </c>
    </row>
    <row r="134" spans="1:3">
      <c r="A134" s="14" t="s">
        <v>618</v>
      </c>
      <c r="B134" s="14">
        <v>1</v>
      </c>
      <c r="C134" s="14" t="s">
        <v>606</v>
      </c>
    </row>
    <row r="135" spans="1:3">
      <c r="A135" s="14" t="s">
        <v>618</v>
      </c>
      <c r="B135" s="14">
        <v>2</v>
      </c>
      <c r="C135" s="14" t="s">
        <v>607</v>
      </c>
    </row>
    <row r="136" spans="1:3">
      <c r="A136" s="14" t="s">
        <v>618</v>
      </c>
      <c r="B136" s="14">
        <v>3</v>
      </c>
      <c r="C136" s="14" t="s">
        <v>608</v>
      </c>
    </row>
    <row r="137" spans="1:3">
      <c r="A137" s="14" t="s">
        <v>619</v>
      </c>
      <c r="B137" s="14">
        <v>1</v>
      </c>
      <c r="C137" s="14" t="s">
        <v>620</v>
      </c>
    </row>
    <row r="138" spans="1:3">
      <c r="A138" s="14" t="s">
        <v>619</v>
      </c>
      <c r="B138" s="14">
        <v>2</v>
      </c>
      <c r="C138" s="14" t="s">
        <v>621</v>
      </c>
    </row>
    <row r="139" spans="1:3">
      <c r="A139" s="14" t="s">
        <v>619</v>
      </c>
      <c r="B139" s="14">
        <v>3</v>
      </c>
      <c r="C139" s="14" t="s">
        <v>609</v>
      </c>
    </row>
    <row r="140" spans="1:3">
      <c r="A140" s="14" t="s">
        <v>619</v>
      </c>
      <c r="B140" s="14">
        <v>4</v>
      </c>
      <c r="C140" s="14" t="s">
        <v>610</v>
      </c>
    </row>
    <row r="141" spans="1:3">
      <c r="A141" s="14" t="s">
        <v>619</v>
      </c>
      <c r="B141" s="14">
        <v>5</v>
      </c>
      <c r="C141" s="14" t="s">
        <v>622</v>
      </c>
    </row>
    <row r="142" spans="1:3">
      <c r="A142" s="14" t="s">
        <v>619</v>
      </c>
      <c r="B142" s="14">
        <v>6</v>
      </c>
      <c r="C142" s="14" t="s">
        <v>611</v>
      </c>
    </row>
    <row r="143" spans="1:3">
      <c r="A143" s="14" t="s">
        <v>619</v>
      </c>
      <c r="B143" s="14">
        <v>7</v>
      </c>
      <c r="C143" s="14" t="s">
        <v>612</v>
      </c>
    </row>
    <row r="144" spans="1:3">
      <c r="A144" s="14" t="s">
        <v>619</v>
      </c>
      <c r="B144" s="14">
        <v>8</v>
      </c>
      <c r="C144" s="14" t="s">
        <v>623</v>
      </c>
    </row>
    <row r="145" spans="1:3">
      <c r="A145" s="14" t="s">
        <v>619</v>
      </c>
      <c r="B145" s="14">
        <v>9</v>
      </c>
      <c r="C145" s="14" t="s">
        <v>624</v>
      </c>
    </row>
    <row r="146" spans="1:3">
      <c r="A146" s="14" t="s">
        <v>619</v>
      </c>
      <c r="B146" s="14">
        <v>10</v>
      </c>
      <c r="C146" s="14" t="s">
        <v>613</v>
      </c>
    </row>
    <row r="147" spans="1:3">
      <c r="A147" s="14" t="s">
        <v>619</v>
      </c>
      <c r="B147" s="14">
        <v>11</v>
      </c>
      <c r="C147" s="14" t="s">
        <v>614</v>
      </c>
    </row>
    <row r="148" spans="1:3">
      <c r="A148" s="14" t="s">
        <v>619</v>
      </c>
      <c r="B148" s="14">
        <v>12</v>
      </c>
      <c r="C148" s="14" t="s">
        <v>625</v>
      </c>
    </row>
    <row r="149" spans="1:3">
      <c r="A149" s="14" t="s">
        <v>619</v>
      </c>
      <c r="B149" s="14">
        <v>13</v>
      </c>
      <c r="C149" s="14" t="s">
        <v>615</v>
      </c>
    </row>
    <row r="150" spans="1:3">
      <c r="A150" s="14" t="s">
        <v>619</v>
      </c>
      <c r="B150" s="14">
        <v>66</v>
      </c>
      <c r="C150" s="14" t="s">
        <v>847</v>
      </c>
    </row>
    <row r="151" spans="1:3">
      <c r="A151" s="14" t="s">
        <v>684</v>
      </c>
      <c r="B151" s="14">
        <v>1</v>
      </c>
      <c r="C151" s="14" t="s">
        <v>598</v>
      </c>
    </row>
    <row r="152" spans="1:3">
      <c r="A152" s="14" t="s">
        <v>684</v>
      </c>
      <c r="B152" s="14">
        <v>2</v>
      </c>
      <c r="C152" s="14" t="s">
        <v>685</v>
      </c>
    </row>
    <row r="153" spans="1:3">
      <c r="A153" s="14" t="s">
        <v>684</v>
      </c>
      <c r="B153" s="14">
        <v>3</v>
      </c>
      <c r="C153" s="14" t="s">
        <v>686</v>
      </c>
    </row>
    <row r="154" spans="1:3">
      <c r="A154" s="14" t="s">
        <v>684</v>
      </c>
      <c r="B154" s="14">
        <v>4</v>
      </c>
      <c r="C154" s="14" t="s">
        <v>687</v>
      </c>
    </row>
    <row r="155" spans="1:3">
      <c r="A155" s="14" t="s">
        <v>684</v>
      </c>
      <c r="B155" s="14">
        <v>5</v>
      </c>
      <c r="C155" s="14" t="s">
        <v>426</v>
      </c>
    </row>
    <row r="156" spans="1:3">
      <c r="A156" s="14" t="s">
        <v>791</v>
      </c>
      <c r="B156" s="14">
        <v>1</v>
      </c>
      <c r="C156" s="14" t="s">
        <v>792</v>
      </c>
    </row>
    <row r="157" spans="1:3">
      <c r="A157" s="14" t="s">
        <v>791</v>
      </c>
      <c r="B157" s="14">
        <v>2</v>
      </c>
      <c r="C157" s="14" t="s">
        <v>793</v>
      </c>
    </row>
    <row r="158" spans="1:3">
      <c r="A158" s="14" t="s">
        <v>791</v>
      </c>
      <c r="B158" s="14">
        <v>3</v>
      </c>
      <c r="C158" s="14" t="s">
        <v>794</v>
      </c>
    </row>
    <row r="159" spans="1:3">
      <c r="A159" s="14" t="s">
        <v>791</v>
      </c>
      <c r="B159" s="14">
        <v>4</v>
      </c>
      <c r="C159" s="14" t="s">
        <v>795</v>
      </c>
    </row>
    <row r="160" spans="1:3">
      <c r="A160" s="14" t="s">
        <v>791</v>
      </c>
      <c r="B160" s="14">
        <v>5</v>
      </c>
      <c r="C160" s="14" t="s">
        <v>796</v>
      </c>
    </row>
    <row r="161" spans="1:3" ht="16.5" thickBot="1">
      <c r="A161" s="14" t="s">
        <v>791</v>
      </c>
      <c r="B161" s="14">
        <v>6</v>
      </c>
      <c r="C161" s="14" t="s">
        <v>797</v>
      </c>
    </row>
    <row r="162" spans="1:3">
      <c r="A162" s="14" t="s">
        <v>516</v>
      </c>
      <c r="B162" s="14">
        <v>1</v>
      </c>
      <c r="C162" s="55" t="s">
        <v>826</v>
      </c>
    </row>
    <row r="163" spans="1:3">
      <c r="A163" s="14" t="s">
        <v>516</v>
      </c>
      <c r="B163" s="14">
        <v>2</v>
      </c>
      <c r="C163" t="s">
        <v>827</v>
      </c>
    </row>
    <row r="164" spans="1:3">
      <c r="A164" s="14" t="s">
        <v>516</v>
      </c>
      <c r="B164" s="14">
        <v>3</v>
      </c>
      <c r="C164" t="s">
        <v>828</v>
      </c>
    </row>
    <row r="165" spans="1:3">
      <c r="A165" s="14" t="s">
        <v>516</v>
      </c>
      <c r="B165" s="14">
        <v>4</v>
      </c>
      <c r="C165" t="s">
        <v>829</v>
      </c>
    </row>
    <row r="166" spans="1:3">
      <c r="A166" s="14" t="s">
        <v>516</v>
      </c>
      <c r="B166" s="14">
        <v>5</v>
      </c>
      <c r="C166" t="s">
        <v>830</v>
      </c>
    </row>
    <row r="167" spans="1:3">
      <c r="A167" s="14" t="s">
        <v>516</v>
      </c>
      <c r="B167" s="14">
        <v>6</v>
      </c>
      <c r="C167" t="s">
        <v>831</v>
      </c>
    </row>
    <row r="168" spans="1:3">
      <c r="A168" s="14" t="s">
        <v>516</v>
      </c>
      <c r="B168" s="14">
        <v>7</v>
      </c>
      <c r="C168" t="s">
        <v>832</v>
      </c>
    </row>
    <row r="169" spans="1:3">
      <c r="A169" s="14" t="s">
        <v>516</v>
      </c>
      <c r="B169" s="14">
        <v>66</v>
      </c>
      <c r="C169" t="s">
        <v>414</v>
      </c>
    </row>
    <row r="170" spans="1:3" ht="16.5" thickBot="1">
      <c r="A170" s="14" t="s">
        <v>516</v>
      </c>
      <c r="B170" s="14">
        <v>8</v>
      </c>
      <c r="C170" s="56" t="s">
        <v>840</v>
      </c>
    </row>
    <row r="171" spans="1:3">
      <c r="A171" s="14" t="s">
        <v>517</v>
      </c>
      <c r="B171" s="14">
        <v>1</v>
      </c>
      <c r="C171" s="14" t="s">
        <v>833</v>
      </c>
    </row>
    <row r="172" spans="1:3">
      <c r="A172" s="14" t="s">
        <v>517</v>
      </c>
      <c r="B172" s="14">
        <v>2</v>
      </c>
      <c r="C172" s="14" t="s">
        <v>834</v>
      </c>
    </row>
    <row r="173" spans="1:3">
      <c r="A173" s="14" t="s">
        <v>517</v>
      </c>
      <c r="B173" s="14">
        <v>3</v>
      </c>
      <c r="C173" s="14" t="s">
        <v>835</v>
      </c>
    </row>
    <row r="174" spans="1:3">
      <c r="A174" s="14" t="s">
        <v>517</v>
      </c>
      <c r="B174" s="14">
        <v>4</v>
      </c>
      <c r="C174" s="14" t="s">
        <v>836</v>
      </c>
    </row>
    <row r="175" spans="1:3">
      <c r="A175" s="14" t="s">
        <v>517</v>
      </c>
      <c r="B175" s="14">
        <v>5</v>
      </c>
      <c r="C175" s="14" t="s">
        <v>837</v>
      </c>
    </row>
    <row r="176" spans="1:3">
      <c r="A176" s="14" t="s">
        <v>517</v>
      </c>
      <c r="B176" s="14">
        <v>6</v>
      </c>
      <c r="C176" s="14" t="s">
        <v>838</v>
      </c>
    </row>
    <row r="177" spans="1:3">
      <c r="A177" s="14" t="s">
        <v>517</v>
      </c>
      <c r="B177" s="14">
        <v>7</v>
      </c>
      <c r="C177" s="14" t="s">
        <v>839</v>
      </c>
    </row>
    <row r="178" spans="1:3">
      <c r="A178" s="14" t="s">
        <v>517</v>
      </c>
      <c r="B178" s="14">
        <v>66</v>
      </c>
      <c r="C178" s="14" t="s">
        <v>426</v>
      </c>
    </row>
    <row r="179" spans="1:3">
      <c r="A179" s="14" t="s">
        <v>517</v>
      </c>
      <c r="B179" s="14">
        <v>8</v>
      </c>
      <c r="C179" s="14" t="s">
        <v>841</v>
      </c>
    </row>
    <row r="180" spans="1:3">
      <c r="A180" s="14" t="s">
        <v>862</v>
      </c>
      <c r="B180" s="14">
        <v>1</v>
      </c>
      <c r="C180" s="14" t="s">
        <v>863</v>
      </c>
    </row>
    <row r="181" spans="1:3">
      <c r="A181" s="14" t="s">
        <v>862</v>
      </c>
      <c r="B181" s="14">
        <v>2</v>
      </c>
      <c r="C181" s="14" t="s">
        <v>479</v>
      </c>
    </row>
    <row r="182" spans="1:3">
      <c r="A182" s="14" t="s">
        <v>862</v>
      </c>
      <c r="B182" s="14">
        <v>3</v>
      </c>
      <c r="C182" s="14" t="s">
        <v>864</v>
      </c>
    </row>
    <row r="183" spans="1:3">
      <c r="A183" s="14" t="s">
        <v>862</v>
      </c>
      <c r="B183" s="14">
        <v>4</v>
      </c>
      <c r="C183" s="14" t="s">
        <v>478</v>
      </c>
    </row>
    <row r="184" spans="1:3">
      <c r="A184" s="14" t="s">
        <v>862</v>
      </c>
      <c r="B184" s="14">
        <v>5</v>
      </c>
      <c r="C184" s="14" t="s">
        <v>865</v>
      </c>
    </row>
    <row r="185" spans="1:3">
      <c r="A185" s="14" t="s">
        <v>862</v>
      </c>
      <c r="B185" s="14">
        <v>6</v>
      </c>
      <c r="C185" s="14" t="s">
        <v>480</v>
      </c>
    </row>
    <row r="186" spans="1:3">
      <c r="A186" s="14" t="s">
        <v>862</v>
      </c>
      <c r="B186" s="14">
        <v>7</v>
      </c>
      <c r="C186" s="14" t="s">
        <v>866</v>
      </c>
    </row>
    <row r="187" spans="1:3">
      <c r="A187" s="14" t="s">
        <v>862</v>
      </c>
      <c r="B187" s="14">
        <v>8</v>
      </c>
      <c r="C187" s="14" t="s">
        <v>867</v>
      </c>
    </row>
    <row r="188" spans="1:3">
      <c r="A188" s="14" t="s">
        <v>862</v>
      </c>
      <c r="B188" s="14">
        <v>9</v>
      </c>
      <c r="C188" s="14" t="s">
        <v>868</v>
      </c>
    </row>
    <row r="189" spans="1:3">
      <c r="A189" s="14" t="s">
        <v>862</v>
      </c>
      <c r="B189" s="14">
        <v>10</v>
      </c>
      <c r="C189" s="14" t="s">
        <v>869</v>
      </c>
    </row>
    <row r="190" spans="1:3">
      <c r="A190" s="14" t="s">
        <v>862</v>
      </c>
      <c r="B190" s="14">
        <v>11</v>
      </c>
      <c r="C190" s="14" t="s">
        <v>870</v>
      </c>
    </row>
    <row r="191" spans="1:3">
      <c r="A191" s="14" t="s">
        <v>862</v>
      </c>
      <c r="B191" s="14">
        <v>12</v>
      </c>
      <c r="C191" s="14" t="s">
        <v>871</v>
      </c>
    </row>
    <row r="192" spans="1:3">
      <c r="A192" s="14" t="s">
        <v>862</v>
      </c>
      <c r="B192" s="14">
        <v>13</v>
      </c>
      <c r="C192" s="14" t="s">
        <v>872</v>
      </c>
    </row>
    <row r="193" spans="1:3">
      <c r="A193" s="14" t="s">
        <v>862</v>
      </c>
      <c r="B193" s="14">
        <v>14</v>
      </c>
      <c r="C193" s="14" t="s">
        <v>873</v>
      </c>
    </row>
    <row r="194" spans="1:3">
      <c r="A194" s="14" t="s">
        <v>862</v>
      </c>
      <c r="B194" s="14">
        <v>15</v>
      </c>
      <c r="C194" s="14" t="s">
        <v>874</v>
      </c>
    </row>
    <row r="195" spans="1:3">
      <c r="A195" s="14" t="s">
        <v>862</v>
      </c>
      <c r="B195" s="14">
        <v>16</v>
      </c>
      <c r="C195" s="14" t="s">
        <v>875</v>
      </c>
    </row>
  </sheetData>
  <sheetProtection selectLockedCells="1" selectUnlockedCells="1"/>
  <autoFilter ref="A1:D161" xr:uid="{00000000-0001-0000-0100-000000000000}"/>
  <phoneticPr fontId="1" type="noConversion"/>
  <conditionalFormatting sqref="A2:H10 A12:H13 A17:H20 A25:H26 A28:H38 A40:A45 C40:H45 A47:H108 A110:H112 C115:H122 A115:A125 B123:H125 A127:H150 A152:H179 A181:H182 A183:A195 C183:H195 B184:B185 B187:B188 B190:B191 B193:B194 A196:H2006">
    <cfRule type="expression" dxfId="94" priority="1">
      <formula>NOT($A2=$A1)</formula>
    </cfRule>
  </conditionalFormatting>
  <conditionalFormatting sqref="A11:H11 A14:H16 A21:H21 A109:H109 A151:H151">
    <cfRule type="expression" dxfId="93" priority="243">
      <formula>NOT($A11=$A9)</formula>
    </cfRule>
  </conditionalFormatting>
  <conditionalFormatting sqref="A22:H22 A113:H113">
    <cfRule type="expression" dxfId="92" priority="737">
      <formula>NOT($A22=$A19)</formula>
    </cfRule>
  </conditionalFormatting>
  <conditionalFormatting sqref="A23:H23">
    <cfRule type="expression" dxfId="91" priority="734">
      <formula>NOT($A23=$A19)</formula>
    </cfRule>
  </conditionalFormatting>
  <conditionalFormatting sqref="A24:H24">
    <cfRule type="expression" dxfId="90" priority="728">
      <formula>NOT($A24=$A18)</formula>
    </cfRule>
  </conditionalFormatting>
  <conditionalFormatting sqref="A27:H27 A39 C39:H39 A46:H46 A126:H126">
    <cfRule type="expression" dxfId="89" priority="334">
      <formula>NOT($A27=#REF!)</formula>
    </cfRule>
  </conditionalFormatting>
  <conditionalFormatting sqref="A114:H114">
    <cfRule type="expression" dxfId="88" priority="738">
      <formula>NOT($A114=#REF!)</formula>
    </cfRule>
  </conditionalFormatting>
  <conditionalFormatting sqref="A180:H180 B183 B186 B189 B192 B195">
    <cfRule type="expression" dxfId="87" priority="767">
      <formula>NOT($A180=#REF!)</formula>
    </cfRule>
  </conditionalFormatting>
  <conditionalFormatting sqref="B38">
    <cfRule type="expression" dxfId="86" priority="339">
      <formula>NOT($A39=#REF!)</formula>
    </cfRule>
  </conditionalFormatting>
  <conditionalFormatting sqref="B39:B44">
    <cfRule type="expression" dxfId="85" priority="336">
      <formula>NOT($A40=$A39)</formula>
    </cfRule>
  </conditionalFormatting>
  <conditionalFormatting sqref="B45">
    <cfRule type="expression" dxfId="84" priority="345">
      <formula>NOT(#REF!=$A45)</formula>
    </cfRule>
  </conditionalFormatting>
  <conditionalFormatting sqref="B116:B122">
    <cfRule type="expression" dxfId="83" priority="351">
      <formula>NOT($A115=$A114)</formula>
    </cfRule>
  </conditionalFormatting>
  <pageMargins left="0.74791666666666667" right="0.74791666666666667" top="0.98402777777777772" bottom="0.98402777777777772" header="0.51180555555555551" footer="0.51180555555555551"/>
  <pageSetup firstPageNumber="0" orientation="portrait" horizontalDpi="300" verticalDpi="300" r:id="rId1"/>
  <headerFooter alignWithMargins="0"/>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
  <sheetViews>
    <sheetView workbookViewId="0">
      <selection activeCell="B2" sqref="B2"/>
    </sheetView>
  </sheetViews>
  <sheetFormatPr baseColWidth="10" defaultColWidth="8.875" defaultRowHeight="15.75"/>
  <cols>
    <col min="1" max="1" width="34.5" bestFit="1" customWidth="1"/>
    <col min="2" max="2" width="15" bestFit="1" customWidth="1"/>
    <col min="3" max="3" width="13.375" customWidth="1"/>
    <col min="4" max="4" width="27" customWidth="1"/>
    <col min="5" max="5" width="33" bestFit="1" customWidth="1"/>
    <col min="6" max="6" width="15.625" bestFit="1" customWidth="1"/>
  </cols>
  <sheetData>
    <row r="1" spans="1:8" s="3" customFormat="1" ht="18" customHeight="1">
      <c r="A1" s="11" t="s">
        <v>17</v>
      </c>
      <c r="B1" s="11" t="s">
        <v>18</v>
      </c>
      <c r="C1" s="12" t="s">
        <v>21</v>
      </c>
      <c r="D1" s="11" t="s">
        <v>19</v>
      </c>
      <c r="E1" s="11" t="s">
        <v>20</v>
      </c>
      <c r="F1" s="13" t="s">
        <v>25</v>
      </c>
      <c r="H1" s="4"/>
    </row>
    <row r="2" spans="1:8">
      <c r="A2" s="15" t="s">
        <v>428</v>
      </c>
      <c r="B2" s="15" t="s">
        <v>427</v>
      </c>
      <c r="C2" s="15" t="str">
        <f ca="1">TEXT(YEAR(NOW())-2000, "00") &amp; TEXT(MONTH(NOW()), "00") &amp; TEXT(DAY(NOW()), "00") &amp; TEXT(HOUR(NOW()), "00") &amp; TEXT(MINUTE(NOW()), "00")</f>
        <v>2603031153</v>
      </c>
      <c r="D2" s="16"/>
      <c r="E2" s="17"/>
      <c r="F2" s="15" t="s">
        <v>429</v>
      </c>
    </row>
  </sheetData>
  <pageMargins left="0.7" right="0.7" top="0.75" bottom="0.75" header="0.3" footer="0.3"/>
  <headerFooter alignWithMargins="0"/>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21"/>
  <sheetViews>
    <sheetView workbookViewId="0">
      <selection activeCell="A4" sqref="A4"/>
    </sheetView>
  </sheetViews>
  <sheetFormatPr baseColWidth="10" defaultRowHeight="15.75"/>
  <cols>
    <col min="1" max="2" width="36" customWidth="1"/>
    <col min="3" max="3" width="36" style="18" customWidth="1"/>
    <col min="4" max="28" width="36" customWidth="1"/>
  </cols>
  <sheetData>
    <row r="1" spans="1:28" ht="15" customHeight="1">
      <c r="A1" s="61" t="s">
        <v>48</v>
      </c>
      <c r="B1" s="62"/>
    </row>
    <row r="2" spans="1:28">
      <c r="A2" s="63"/>
      <c r="B2" s="64"/>
    </row>
    <row r="3" spans="1:28" ht="96.95" customHeight="1">
      <c r="A3" s="65" t="s">
        <v>49</v>
      </c>
      <c r="B3" s="66"/>
    </row>
    <row r="5" spans="1:28" s="3" customFormat="1" ht="18" customHeight="1">
      <c r="A5" s="5" t="s">
        <v>1</v>
      </c>
      <c r="B5" s="5" t="s">
        <v>2</v>
      </c>
      <c r="C5" s="7" t="s">
        <v>22</v>
      </c>
      <c r="D5" s="7" t="s">
        <v>50</v>
      </c>
      <c r="E5" s="5" t="s">
        <v>5</v>
      </c>
      <c r="F5" s="5" t="s">
        <v>51</v>
      </c>
      <c r="G5" s="5" t="s">
        <v>3</v>
      </c>
      <c r="H5" s="6" t="s">
        <v>6</v>
      </c>
      <c r="I5" s="5" t="s">
        <v>7</v>
      </c>
      <c r="J5" s="7" t="s">
        <v>35</v>
      </c>
      <c r="K5" s="7" t="s">
        <v>52</v>
      </c>
      <c r="L5" s="5" t="s">
        <v>8</v>
      </c>
      <c r="M5" s="5" t="s">
        <v>14</v>
      </c>
      <c r="N5" s="5" t="s">
        <v>9</v>
      </c>
      <c r="O5" s="5" t="s">
        <v>34</v>
      </c>
      <c r="P5" s="5" t="s">
        <v>53</v>
      </c>
      <c r="Q5" s="5" t="s">
        <v>10</v>
      </c>
      <c r="R5" s="5" t="s">
        <v>13</v>
      </c>
      <c r="S5" s="5" t="s">
        <v>33</v>
      </c>
      <c r="T5" s="5" t="s">
        <v>4</v>
      </c>
      <c r="U5" s="5" t="s">
        <v>11</v>
      </c>
      <c r="V5" s="5" t="s">
        <v>12</v>
      </c>
      <c r="W5" s="5" t="s">
        <v>54</v>
      </c>
      <c r="X5" s="5" t="s">
        <v>55</v>
      </c>
      <c r="Y5" s="5" t="s">
        <v>56</v>
      </c>
      <c r="Z5" s="5" t="s">
        <v>57</v>
      </c>
      <c r="AA5" s="5" t="s">
        <v>36</v>
      </c>
      <c r="AB5" s="5" t="s">
        <v>47</v>
      </c>
    </row>
    <row r="6" spans="1:28" s="20" customFormat="1" ht="189">
      <c r="A6" s="19" t="s">
        <v>58</v>
      </c>
      <c r="B6" s="19" t="s">
        <v>59</v>
      </c>
      <c r="C6" s="19" t="s">
        <v>60</v>
      </c>
      <c r="D6" s="19" t="s">
        <v>61</v>
      </c>
      <c r="E6" s="19" t="s">
        <v>62</v>
      </c>
      <c r="F6" s="19" t="s">
        <v>63</v>
      </c>
      <c r="G6" s="19" t="s">
        <v>64</v>
      </c>
      <c r="H6" s="19" t="s">
        <v>65</v>
      </c>
      <c r="I6" s="19" t="s">
        <v>66</v>
      </c>
      <c r="J6" s="19" t="s">
        <v>67</v>
      </c>
      <c r="K6" s="19" t="s">
        <v>68</v>
      </c>
      <c r="L6" s="19" t="s">
        <v>69</v>
      </c>
      <c r="M6" s="19" t="s">
        <v>70</v>
      </c>
      <c r="N6" s="19" t="s">
        <v>71</v>
      </c>
      <c r="O6" s="19" t="s">
        <v>72</v>
      </c>
      <c r="P6" s="19" t="s">
        <v>73</v>
      </c>
      <c r="Q6" s="19" t="s">
        <v>74</v>
      </c>
      <c r="R6" s="19" t="s">
        <v>75</v>
      </c>
      <c r="S6" s="19" t="s">
        <v>76</v>
      </c>
      <c r="T6" s="19" t="s">
        <v>77</v>
      </c>
      <c r="U6" s="19" t="s">
        <v>78</v>
      </c>
      <c r="V6" s="19" t="s">
        <v>79</v>
      </c>
      <c r="W6" s="19" t="s">
        <v>80</v>
      </c>
      <c r="X6" s="19" t="s">
        <v>81</v>
      </c>
      <c r="Y6" s="19" t="s">
        <v>82</v>
      </c>
      <c r="Z6" s="19" t="s">
        <v>83</v>
      </c>
      <c r="AA6" s="19" t="s">
        <v>84</v>
      </c>
      <c r="AB6" s="19" t="s">
        <v>85</v>
      </c>
    </row>
    <row r="8" spans="1:28" s="23" customFormat="1">
      <c r="A8" s="67" t="s">
        <v>86</v>
      </c>
      <c r="B8" s="67"/>
      <c r="C8" s="21"/>
      <c r="D8" s="22"/>
      <c r="E8" s="22"/>
      <c r="F8" s="22"/>
      <c r="G8" s="22"/>
      <c r="H8" s="22"/>
      <c r="I8" s="22"/>
      <c r="J8" s="22"/>
      <c r="K8" s="22"/>
      <c r="L8" s="22"/>
      <c r="M8" s="22"/>
      <c r="N8" s="22"/>
      <c r="O8" s="22"/>
      <c r="P8" s="22"/>
      <c r="Q8" s="22"/>
      <c r="R8" s="22"/>
      <c r="S8" s="22"/>
      <c r="T8" s="22"/>
      <c r="U8" s="22"/>
      <c r="V8" s="22"/>
      <c r="W8" s="22"/>
      <c r="X8" s="22"/>
      <c r="Y8" s="22"/>
      <c r="Z8" s="22"/>
      <c r="AA8" s="22"/>
      <c r="AB8" s="22"/>
    </row>
    <row r="10" spans="1:28" s="23" customFormat="1">
      <c r="A10" s="24" t="s">
        <v>43</v>
      </c>
      <c r="B10" s="24" t="s">
        <v>87</v>
      </c>
      <c r="C10" s="25" t="s">
        <v>88</v>
      </c>
      <c r="D10" s="24"/>
      <c r="E10" s="24"/>
      <c r="F10" s="24"/>
      <c r="G10" s="24"/>
      <c r="H10" s="24"/>
      <c r="I10" s="24"/>
      <c r="J10" s="24"/>
      <c r="K10" s="24"/>
      <c r="L10" s="24"/>
      <c r="M10" s="24"/>
      <c r="N10" s="24"/>
      <c r="O10" s="24"/>
      <c r="P10" s="24"/>
      <c r="Q10" s="24"/>
      <c r="R10" s="24"/>
      <c r="S10" s="24"/>
      <c r="T10" s="24"/>
      <c r="U10" s="24"/>
      <c r="V10" s="24"/>
      <c r="W10" s="24"/>
      <c r="X10" s="24"/>
      <c r="Y10" s="24"/>
      <c r="Z10" s="24"/>
      <c r="AA10" s="24"/>
      <c r="AB10" s="24"/>
    </row>
    <row r="11" spans="1:28" s="23" customFormat="1">
      <c r="A11" s="24" t="s">
        <v>43</v>
      </c>
      <c r="B11" s="24" t="s">
        <v>87</v>
      </c>
      <c r="C11" s="25" t="s">
        <v>89</v>
      </c>
      <c r="D11" s="24"/>
      <c r="E11" s="24"/>
      <c r="F11" s="24"/>
      <c r="G11" s="24"/>
      <c r="H11" s="24" t="s">
        <v>90</v>
      </c>
      <c r="I11" s="24"/>
      <c r="J11" s="24"/>
      <c r="K11" s="24"/>
      <c r="L11" s="24"/>
      <c r="M11" s="24"/>
      <c r="N11" s="24"/>
      <c r="O11" s="24"/>
      <c r="P11" s="24"/>
      <c r="Q11" s="24"/>
      <c r="R11" s="24"/>
      <c r="S11" s="24"/>
      <c r="T11" s="24"/>
      <c r="U11" s="24"/>
      <c r="V11" s="24"/>
      <c r="W11" s="24"/>
      <c r="X11" s="24"/>
      <c r="Y11" s="24"/>
      <c r="Z11" s="24"/>
      <c r="AA11" s="24"/>
      <c r="AB11" s="24"/>
    </row>
    <row r="12" spans="1:28" s="23" customFormat="1">
      <c r="A12" s="24" t="s">
        <v>45</v>
      </c>
      <c r="B12" s="24" t="s">
        <v>87</v>
      </c>
      <c r="C12" s="25" t="s">
        <v>91</v>
      </c>
      <c r="D12" s="24"/>
      <c r="E12" s="24"/>
      <c r="F12" s="24"/>
      <c r="G12" s="24"/>
      <c r="H12" s="24"/>
      <c r="I12" s="24"/>
      <c r="J12" s="24"/>
      <c r="K12" s="24"/>
      <c r="L12" s="24"/>
      <c r="M12" s="24"/>
      <c r="N12" s="24"/>
      <c r="O12" s="24"/>
      <c r="P12" s="24"/>
      <c r="Q12" s="24"/>
      <c r="R12" s="24"/>
      <c r="S12" s="24"/>
      <c r="T12" s="24"/>
      <c r="U12" s="24"/>
      <c r="V12" s="24"/>
      <c r="W12" s="24"/>
      <c r="X12" s="24"/>
      <c r="Y12" s="24"/>
      <c r="Z12" s="24"/>
      <c r="AA12" s="24"/>
      <c r="AB12" s="24"/>
    </row>
    <row r="13" spans="1:28" s="23" customFormat="1">
      <c r="A13" s="24" t="s">
        <v>92</v>
      </c>
      <c r="B13" s="24" t="s">
        <v>87</v>
      </c>
      <c r="C13" s="25" t="s">
        <v>93</v>
      </c>
      <c r="D13" s="24"/>
      <c r="E13" s="24"/>
      <c r="F13" s="24"/>
      <c r="G13" s="24"/>
      <c r="H13" s="24"/>
      <c r="I13" s="24"/>
      <c r="J13" s="24"/>
      <c r="K13" s="24"/>
      <c r="L13" s="24"/>
      <c r="M13" s="24"/>
      <c r="N13" s="24"/>
      <c r="O13" s="24"/>
      <c r="P13" s="24"/>
      <c r="Q13" s="24"/>
      <c r="R13" s="24"/>
      <c r="S13" s="24"/>
      <c r="T13" s="24"/>
      <c r="U13" s="24"/>
      <c r="V13" s="24"/>
      <c r="W13" s="24"/>
      <c r="X13" s="24"/>
      <c r="Y13" s="24"/>
      <c r="Z13" s="24"/>
      <c r="AA13" s="24"/>
      <c r="AB13" s="24"/>
    </row>
    <row r="14" spans="1:28" s="23" customFormat="1" ht="47.25">
      <c r="A14" s="24" t="s">
        <v>94</v>
      </c>
      <c r="B14" s="24" t="s">
        <v>87</v>
      </c>
      <c r="C14" s="25" t="s">
        <v>95</v>
      </c>
      <c r="D14" s="24"/>
      <c r="E14" s="24"/>
      <c r="F14" s="24"/>
      <c r="G14" s="24"/>
      <c r="H14" s="24"/>
      <c r="I14" s="24"/>
      <c r="J14" s="24"/>
      <c r="K14" s="24"/>
      <c r="L14" s="24"/>
      <c r="M14" s="24"/>
      <c r="N14" s="24"/>
      <c r="O14" s="24"/>
      <c r="P14" s="24"/>
      <c r="Q14" s="24"/>
      <c r="R14" s="24"/>
      <c r="S14" s="24"/>
      <c r="T14" s="24"/>
      <c r="U14" s="24"/>
      <c r="V14" s="24"/>
      <c r="W14" s="24"/>
      <c r="X14" s="24"/>
      <c r="Y14" s="24"/>
      <c r="Z14" s="24"/>
      <c r="AA14" s="24"/>
      <c r="AB14" s="24"/>
    </row>
    <row r="15" spans="1:28" s="23" customFormat="1" ht="47.25">
      <c r="A15" s="24" t="s">
        <v>94</v>
      </c>
      <c r="B15" s="24" t="s">
        <v>87</v>
      </c>
      <c r="C15" s="25" t="s">
        <v>96</v>
      </c>
      <c r="D15" s="24"/>
      <c r="E15" s="24"/>
      <c r="F15" s="24"/>
      <c r="G15" s="24"/>
      <c r="H15" s="24" t="s">
        <v>97</v>
      </c>
      <c r="I15" s="24"/>
      <c r="J15" s="24"/>
      <c r="K15" s="24"/>
      <c r="L15" s="24"/>
      <c r="M15" s="24"/>
      <c r="N15" s="24"/>
      <c r="O15" s="24"/>
      <c r="P15" s="24"/>
      <c r="Q15" s="24"/>
      <c r="R15" s="24"/>
      <c r="S15" s="24"/>
      <c r="T15" s="24"/>
      <c r="U15" s="24"/>
      <c r="V15" s="24"/>
      <c r="W15" s="24"/>
      <c r="X15" s="24"/>
      <c r="Y15" s="24"/>
      <c r="Z15" s="24"/>
      <c r="AA15" s="24"/>
      <c r="AB15" s="24"/>
    </row>
    <row r="16" spans="1:28" s="23" customFormat="1" ht="47.25">
      <c r="A16" s="24" t="s">
        <v>94</v>
      </c>
      <c r="B16" s="24" t="s">
        <v>87</v>
      </c>
      <c r="C16" s="25" t="s">
        <v>98</v>
      </c>
      <c r="D16" s="24"/>
      <c r="E16" s="24"/>
      <c r="F16" s="24"/>
      <c r="G16" s="24"/>
      <c r="H16" s="24" t="s">
        <v>99</v>
      </c>
      <c r="I16" s="24"/>
      <c r="J16" s="24"/>
      <c r="K16" s="24"/>
      <c r="L16" s="24"/>
      <c r="M16" s="24"/>
      <c r="N16" s="24"/>
      <c r="O16" s="24"/>
      <c r="P16" s="24"/>
      <c r="Q16" s="24"/>
      <c r="R16" s="24"/>
      <c r="S16" s="24"/>
      <c r="T16" s="24"/>
      <c r="U16" s="24"/>
      <c r="V16" s="24"/>
      <c r="W16" s="24"/>
      <c r="X16" s="24"/>
      <c r="Y16" s="24"/>
      <c r="Z16" s="24"/>
      <c r="AA16" s="24"/>
      <c r="AB16" s="24"/>
    </row>
    <row r="17" spans="1:28" s="23" customFormat="1" ht="47.25">
      <c r="A17" s="24" t="s">
        <v>94</v>
      </c>
      <c r="B17" s="24" t="s">
        <v>87</v>
      </c>
      <c r="C17" s="25" t="s">
        <v>100</v>
      </c>
      <c r="D17" s="24"/>
      <c r="E17" s="24"/>
      <c r="F17" s="24"/>
      <c r="G17" s="24"/>
      <c r="H17" s="24" t="s">
        <v>101</v>
      </c>
      <c r="I17" s="24"/>
      <c r="J17" s="24"/>
      <c r="K17" s="24"/>
      <c r="L17" s="24"/>
      <c r="M17" s="24"/>
      <c r="N17" s="24"/>
      <c r="O17" s="24"/>
      <c r="P17" s="24"/>
      <c r="Q17" s="24"/>
      <c r="R17" s="24"/>
      <c r="S17" s="24"/>
      <c r="T17" s="24"/>
      <c r="U17" s="24"/>
      <c r="V17" s="24"/>
      <c r="W17" s="24"/>
      <c r="X17" s="24"/>
      <c r="Y17" s="24"/>
      <c r="Z17" s="24"/>
      <c r="AA17" s="24"/>
      <c r="AB17" s="24"/>
    </row>
    <row r="18" spans="1:28" s="23" customFormat="1" ht="47.25">
      <c r="A18" s="24" t="s">
        <v>94</v>
      </c>
      <c r="B18" s="24" t="s">
        <v>87</v>
      </c>
      <c r="C18" s="25" t="s">
        <v>102</v>
      </c>
      <c r="D18" s="24"/>
      <c r="E18" s="24"/>
      <c r="F18" s="24"/>
      <c r="G18" s="24"/>
      <c r="H18" s="24" t="s">
        <v>103</v>
      </c>
      <c r="I18" s="24"/>
      <c r="J18" s="24"/>
      <c r="K18" s="24"/>
      <c r="L18" s="24"/>
      <c r="M18" s="24"/>
      <c r="N18" s="24"/>
      <c r="O18" s="24"/>
      <c r="P18" s="24"/>
      <c r="Q18" s="24"/>
      <c r="R18" s="24"/>
      <c r="S18" s="24"/>
      <c r="T18" s="24"/>
      <c r="U18" s="24"/>
      <c r="V18" s="24"/>
      <c r="W18" s="24"/>
      <c r="X18" s="24"/>
      <c r="Y18" s="24"/>
      <c r="Z18" s="24"/>
      <c r="AA18" s="24"/>
      <c r="AB18" s="24"/>
    </row>
    <row r="19" spans="1:28" s="23" customFormat="1" ht="63">
      <c r="A19" s="24" t="s">
        <v>94</v>
      </c>
      <c r="B19" s="24" t="s">
        <v>87</v>
      </c>
      <c r="C19" s="25" t="s">
        <v>104</v>
      </c>
      <c r="D19" s="24"/>
      <c r="E19" s="24"/>
      <c r="F19" s="24"/>
      <c r="G19" s="24"/>
      <c r="H19" s="24" t="s">
        <v>105</v>
      </c>
      <c r="I19" s="24"/>
      <c r="J19" s="24"/>
      <c r="K19" s="24"/>
      <c r="L19" s="24"/>
      <c r="M19" s="24"/>
      <c r="N19" s="24"/>
      <c r="O19" s="24"/>
      <c r="P19" s="24"/>
      <c r="Q19" s="24"/>
      <c r="R19" s="24"/>
      <c r="S19" s="24"/>
      <c r="T19" s="24"/>
      <c r="U19" s="24"/>
      <c r="V19" s="24"/>
      <c r="W19" s="24"/>
      <c r="X19" s="24"/>
      <c r="Y19" s="24"/>
      <c r="Z19" s="24"/>
      <c r="AA19" s="24"/>
      <c r="AB19" s="24"/>
    </row>
    <row r="20" spans="1:28" s="23" customFormat="1" ht="78.75">
      <c r="A20" s="24" t="s">
        <v>94</v>
      </c>
      <c r="B20" s="24" t="s">
        <v>87</v>
      </c>
      <c r="C20" s="25" t="s">
        <v>106</v>
      </c>
      <c r="D20" s="24"/>
      <c r="E20" s="24"/>
      <c r="F20" s="24"/>
      <c r="G20" s="24"/>
      <c r="H20" s="24" t="s">
        <v>107</v>
      </c>
      <c r="I20" s="24"/>
      <c r="J20" s="24"/>
      <c r="K20" s="24"/>
      <c r="L20" s="24"/>
      <c r="M20" s="24"/>
      <c r="N20" s="24"/>
      <c r="O20" s="24"/>
      <c r="P20" s="24"/>
      <c r="Q20" s="24"/>
      <c r="R20" s="24"/>
      <c r="S20" s="24"/>
      <c r="T20" s="24"/>
      <c r="U20" s="24"/>
      <c r="V20" s="24"/>
      <c r="W20" s="24"/>
      <c r="X20" s="24"/>
      <c r="Y20" s="24"/>
      <c r="Z20" s="24"/>
      <c r="AA20" s="24"/>
      <c r="AB20" s="24"/>
    </row>
    <row r="21" spans="1:28" s="23" customFormat="1" ht="63">
      <c r="A21" s="24" t="s">
        <v>94</v>
      </c>
      <c r="B21" s="24" t="s">
        <v>87</v>
      </c>
      <c r="C21" s="25" t="s">
        <v>108</v>
      </c>
      <c r="D21" s="24"/>
      <c r="E21" s="24"/>
      <c r="F21" s="24"/>
      <c r="G21" s="24"/>
      <c r="H21" s="24" t="s">
        <v>109</v>
      </c>
      <c r="I21" s="24"/>
      <c r="J21" s="24"/>
      <c r="K21" s="24"/>
      <c r="L21" s="24"/>
      <c r="M21" s="24"/>
      <c r="N21" s="24"/>
      <c r="O21" s="24"/>
      <c r="P21" s="24"/>
      <c r="Q21" s="24"/>
      <c r="R21" s="24"/>
      <c r="S21" s="24"/>
      <c r="T21" s="24"/>
      <c r="U21" s="24"/>
      <c r="V21" s="24"/>
      <c r="W21" s="24"/>
      <c r="X21" s="24"/>
      <c r="Y21" s="24"/>
      <c r="Z21" s="24"/>
      <c r="AA21" s="24"/>
      <c r="AB21" s="24"/>
    </row>
    <row r="22" spans="1:28" s="23" customFormat="1" ht="63">
      <c r="A22" s="24" t="s">
        <v>94</v>
      </c>
      <c r="B22" s="24" t="s">
        <v>87</v>
      </c>
      <c r="C22" s="25" t="s">
        <v>110</v>
      </c>
      <c r="D22" s="24"/>
      <c r="E22" s="24"/>
      <c r="F22" s="24"/>
      <c r="G22" s="24"/>
      <c r="H22" s="24" t="s">
        <v>111</v>
      </c>
      <c r="I22" s="24"/>
      <c r="J22" s="24"/>
      <c r="K22" s="24"/>
      <c r="L22" s="24"/>
      <c r="M22" s="24"/>
      <c r="N22" s="24"/>
      <c r="O22" s="24"/>
      <c r="P22" s="24"/>
      <c r="Q22" s="24"/>
      <c r="R22" s="24"/>
      <c r="S22" s="24"/>
      <c r="T22" s="24"/>
      <c r="U22" s="24"/>
      <c r="V22" s="24"/>
      <c r="W22" s="24"/>
      <c r="X22" s="24"/>
      <c r="Y22" s="24"/>
      <c r="Z22" s="24"/>
      <c r="AA22" s="24"/>
      <c r="AB22" s="24"/>
    </row>
    <row r="23" spans="1:28" s="23" customFormat="1" ht="63">
      <c r="A23" s="24" t="s">
        <v>94</v>
      </c>
      <c r="B23" s="24" t="s">
        <v>87</v>
      </c>
      <c r="C23" s="26" t="s">
        <v>112</v>
      </c>
      <c r="D23" s="24"/>
      <c r="E23" s="24"/>
      <c r="F23" s="24"/>
      <c r="G23" s="24"/>
      <c r="H23" s="24" t="s">
        <v>113</v>
      </c>
      <c r="I23" s="24"/>
      <c r="J23" s="24"/>
      <c r="K23" s="24"/>
      <c r="L23" s="24"/>
      <c r="M23" s="24"/>
      <c r="N23" s="24"/>
      <c r="O23" s="24"/>
      <c r="P23" s="24"/>
      <c r="Q23" s="24"/>
      <c r="R23" s="24"/>
      <c r="S23" s="24"/>
      <c r="T23" s="24"/>
      <c r="U23" s="24"/>
      <c r="V23" s="24"/>
      <c r="W23" s="24"/>
      <c r="X23" s="24"/>
      <c r="Y23" s="24"/>
      <c r="Z23" s="24"/>
      <c r="AA23" s="24"/>
      <c r="AB23" s="24"/>
    </row>
    <row r="24" spans="1:28" s="23" customFormat="1" ht="63">
      <c r="A24" s="24" t="s">
        <v>94</v>
      </c>
      <c r="B24" s="24" t="s">
        <v>87</v>
      </c>
      <c r="C24" s="25" t="s">
        <v>114</v>
      </c>
      <c r="D24" s="24"/>
      <c r="E24" s="24"/>
      <c r="F24" s="24"/>
      <c r="G24" s="24"/>
      <c r="H24" s="24" t="s">
        <v>115</v>
      </c>
      <c r="I24" s="24"/>
      <c r="J24" s="24"/>
      <c r="K24" s="24"/>
      <c r="L24" s="24"/>
      <c r="M24" s="24"/>
      <c r="N24" s="24"/>
      <c r="O24" s="24"/>
      <c r="P24" s="24"/>
      <c r="Q24" s="24"/>
      <c r="R24" s="24"/>
      <c r="S24" s="24"/>
      <c r="T24" s="24"/>
      <c r="U24" s="24"/>
      <c r="V24" s="24"/>
      <c r="W24" s="24"/>
      <c r="X24" s="24"/>
      <c r="Y24" s="24"/>
      <c r="Z24" s="24"/>
      <c r="AA24" s="24"/>
      <c r="AB24" s="24"/>
    </row>
    <row r="25" spans="1:28" s="23" customFormat="1" ht="78.75">
      <c r="A25" s="24" t="s">
        <v>94</v>
      </c>
      <c r="B25" s="24" t="s">
        <v>87</v>
      </c>
      <c r="C25" s="25" t="s">
        <v>116</v>
      </c>
      <c r="D25" s="24"/>
      <c r="E25" s="24"/>
      <c r="F25" s="24"/>
      <c r="G25" s="24"/>
      <c r="H25" s="24" t="s">
        <v>117</v>
      </c>
      <c r="I25" s="24"/>
      <c r="J25" s="24"/>
      <c r="K25" s="24"/>
      <c r="L25" s="24"/>
      <c r="M25" s="24"/>
      <c r="N25" s="24"/>
      <c r="O25" s="24"/>
      <c r="P25" s="24"/>
      <c r="Q25" s="24"/>
      <c r="R25" s="24"/>
      <c r="S25" s="24"/>
      <c r="T25" s="24"/>
      <c r="U25" s="24"/>
      <c r="V25" s="24"/>
      <c r="W25" s="24"/>
      <c r="X25" s="24"/>
      <c r="Y25" s="24"/>
      <c r="Z25" s="24"/>
      <c r="AA25" s="24"/>
      <c r="AB25" s="24"/>
    </row>
    <row r="26" spans="1:28" s="23" customFormat="1" ht="47.25">
      <c r="A26" s="24" t="s">
        <v>118</v>
      </c>
      <c r="B26" s="24" t="s">
        <v>87</v>
      </c>
      <c r="C26" s="25" t="s">
        <v>119</v>
      </c>
      <c r="D26" s="24"/>
      <c r="E26" s="24"/>
      <c r="F26" s="24"/>
      <c r="G26" s="24"/>
      <c r="H26" s="24"/>
      <c r="I26" s="24"/>
      <c r="J26" s="24"/>
      <c r="K26" s="24"/>
      <c r="L26" s="24"/>
      <c r="M26" s="24"/>
      <c r="N26" s="24"/>
      <c r="O26" s="24"/>
      <c r="P26" s="24"/>
      <c r="Q26" s="24"/>
      <c r="R26" s="24"/>
      <c r="S26" s="24"/>
      <c r="T26" s="24"/>
      <c r="U26" s="24"/>
      <c r="V26" s="24"/>
      <c r="W26" s="24"/>
      <c r="X26" s="24"/>
      <c r="Y26" s="24"/>
      <c r="Z26" s="24"/>
      <c r="AA26" s="24"/>
      <c r="AB26" s="24"/>
    </row>
    <row r="27" spans="1:28" s="23" customFormat="1" ht="31.5">
      <c r="A27" s="24" t="s">
        <v>118</v>
      </c>
      <c r="B27" s="24" t="s">
        <v>87</v>
      </c>
      <c r="C27" s="25" t="s">
        <v>120</v>
      </c>
      <c r="D27" s="24"/>
      <c r="E27" s="24"/>
      <c r="F27" s="24"/>
      <c r="G27" s="24"/>
      <c r="H27" s="24" t="s">
        <v>99</v>
      </c>
      <c r="I27" s="24"/>
      <c r="J27" s="24"/>
      <c r="K27" s="24"/>
      <c r="L27" s="24"/>
      <c r="M27" s="24"/>
      <c r="N27" s="24"/>
      <c r="O27" s="24"/>
      <c r="P27" s="24"/>
      <c r="Q27" s="24"/>
      <c r="R27" s="24"/>
      <c r="S27" s="24"/>
      <c r="T27" s="24"/>
      <c r="U27" s="24"/>
      <c r="V27" s="24"/>
      <c r="W27" s="24"/>
      <c r="X27" s="24"/>
      <c r="Y27" s="24"/>
      <c r="Z27" s="24"/>
      <c r="AA27" s="24"/>
      <c r="AB27" s="24"/>
    </row>
    <row r="28" spans="1:28" s="23" customFormat="1" ht="47.25">
      <c r="A28" s="24" t="s">
        <v>118</v>
      </c>
      <c r="B28" s="24" t="s">
        <v>87</v>
      </c>
      <c r="C28" s="25" t="s">
        <v>121</v>
      </c>
      <c r="D28" s="24"/>
      <c r="E28" s="24"/>
      <c r="F28" s="24"/>
      <c r="G28" s="24"/>
      <c r="H28" s="24" t="s">
        <v>101</v>
      </c>
      <c r="I28" s="24"/>
      <c r="J28" s="24"/>
      <c r="K28" s="24"/>
      <c r="L28" s="24"/>
      <c r="M28" s="24"/>
      <c r="N28" s="24"/>
      <c r="O28" s="24"/>
      <c r="P28" s="24"/>
      <c r="Q28" s="24"/>
      <c r="R28" s="24"/>
      <c r="S28" s="24"/>
      <c r="T28" s="24"/>
      <c r="U28" s="24"/>
      <c r="V28" s="24"/>
      <c r="W28" s="24"/>
      <c r="X28" s="24"/>
      <c r="Y28" s="24"/>
      <c r="Z28" s="24"/>
      <c r="AA28" s="24"/>
      <c r="AB28" s="24"/>
    </row>
    <row r="29" spans="1:28" s="23" customFormat="1" ht="47.25">
      <c r="A29" s="24" t="s">
        <v>118</v>
      </c>
      <c r="B29" s="24" t="s">
        <v>87</v>
      </c>
      <c r="C29" s="25" t="s">
        <v>122</v>
      </c>
      <c r="D29" s="24"/>
      <c r="E29" s="24"/>
      <c r="F29" s="24"/>
      <c r="G29" s="24"/>
      <c r="H29" s="24" t="s">
        <v>103</v>
      </c>
      <c r="I29" s="24"/>
      <c r="J29" s="24"/>
      <c r="K29" s="24"/>
      <c r="L29" s="24"/>
      <c r="M29" s="24"/>
      <c r="N29" s="24"/>
      <c r="O29" s="24"/>
      <c r="P29" s="24"/>
      <c r="Q29" s="24"/>
      <c r="R29" s="24"/>
      <c r="S29" s="24"/>
      <c r="T29" s="24"/>
      <c r="U29" s="24"/>
      <c r="V29" s="24"/>
      <c r="W29" s="24"/>
      <c r="X29" s="24"/>
      <c r="Y29" s="24"/>
      <c r="Z29" s="24"/>
      <c r="AA29" s="24"/>
      <c r="AB29" s="24"/>
    </row>
    <row r="30" spans="1:28" s="23" customFormat="1" ht="63">
      <c r="A30" s="24" t="s">
        <v>118</v>
      </c>
      <c r="B30" s="24" t="s">
        <v>87</v>
      </c>
      <c r="C30" s="25" t="s">
        <v>123</v>
      </c>
      <c r="D30" s="24"/>
      <c r="E30" s="24"/>
      <c r="F30" s="24"/>
      <c r="G30" s="24"/>
      <c r="H30" s="24" t="s">
        <v>109</v>
      </c>
      <c r="I30" s="24"/>
      <c r="J30" s="24"/>
      <c r="K30" s="24"/>
      <c r="L30" s="24"/>
      <c r="M30" s="24"/>
      <c r="N30" s="24"/>
      <c r="O30" s="24"/>
      <c r="P30" s="24"/>
      <c r="Q30" s="24"/>
      <c r="R30" s="24"/>
      <c r="S30" s="24"/>
      <c r="T30" s="24"/>
      <c r="U30" s="24"/>
      <c r="V30" s="24"/>
      <c r="W30" s="24"/>
      <c r="X30" s="24"/>
      <c r="Y30" s="24"/>
      <c r="Z30" s="24"/>
      <c r="AA30" s="24"/>
      <c r="AB30" s="24"/>
    </row>
    <row r="31" spans="1:28" s="23" customFormat="1" ht="63">
      <c r="A31" s="24" t="s">
        <v>118</v>
      </c>
      <c r="B31" s="24" t="s">
        <v>87</v>
      </c>
      <c r="C31" s="25" t="s">
        <v>124</v>
      </c>
      <c r="D31" s="24"/>
      <c r="E31" s="24"/>
      <c r="F31" s="24"/>
      <c r="G31" s="24"/>
      <c r="H31" s="24" t="s">
        <v>111</v>
      </c>
      <c r="I31" s="24"/>
      <c r="J31" s="24"/>
      <c r="K31" s="24"/>
      <c r="L31" s="24"/>
      <c r="M31" s="24"/>
      <c r="N31" s="24"/>
      <c r="O31" s="24"/>
      <c r="P31" s="24"/>
      <c r="Q31" s="24"/>
      <c r="R31" s="24"/>
      <c r="S31" s="24"/>
      <c r="T31" s="24"/>
      <c r="U31" s="24"/>
      <c r="V31" s="24"/>
      <c r="W31" s="24"/>
      <c r="X31" s="24"/>
      <c r="Y31" s="24"/>
      <c r="Z31" s="24"/>
      <c r="AA31" s="24"/>
      <c r="AB31" s="24"/>
    </row>
    <row r="32" spans="1:28" s="23" customFormat="1" ht="63">
      <c r="A32" s="24" t="s">
        <v>118</v>
      </c>
      <c r="B32" s="24" t="s">
        <v>87</v>
      </c>
      <c r="C32" s="26" t="s">
        <v>125</v>
      </c>
      <c r="D32" s="24"/>
      <c r="E32" s="24"/>
      <c r="F32" s="24"/>
      <c r="G32" s="24"/>
      <c r="H32" s="24" t="s">
        <v>113</v>
      </c>
      <c r="I32" s="24"/>
      <c r="J32" s="24"/>
      <c r="K32" s="24"/>
      <c r="L32" s="24"/>
      <c r="M32" s="24"/>
      <c r="N32" s="24"/>
      <c r="O32" s="24"/>
      <c r="P32" s="24"/>
      <c r="Q32" s="24"/>
      <c r="R32" s="24"/>
      <c r="S32" s="24"/>
      <c r="T32" s="24"/>
      <c r="U32" s="24"/>
      <c r="V32" s="24"/>
      <c r="W32" s="24"/>
      <c r="X32" s="24"/>
      <c r="Y32" s="24"/>
      <c r="Z32" s="24"/>
      <c r="AA32" s="24"/>
      <c r="AB32" s="24"/>
    </row>
    <row r="33" spans="1:28" s="23" customFormat="1" ht="63">
      <c r="A33" s="24" t="s">
        <v>118</v>
      </c>
      <c r="B33" s="24" t="s">
        <v>87</v>
      </c>
      <c r="C33" s="25" t="s">
        <v>126</v>
      </c>
      <c r="D33" s="24"/>
      <c r="E33" s="24"/>
      <c r="F33" s="24"/>
      <c r="G33" s="24"/>
      <c r="H33" s="24" t="s">
        <v>115</v>
      </c>
      <c r="I33" s="24"/>
      <c r="J33" s="24"/>
      <c r="K33" s="24"/>
      <c r="L33" s="24"/>
      <c r="M33" s="24"/>
      <c r="N33" s="24"/>
      <c r="O33" s="24"/>
      <c r="P33" s="24"/>
      <c r="Q33" s="24"/>
      <c r="R33" s="24"/>
      <c r="S33" s="24"/>
      <c r="T33" s="24"/>
      <c r="U33" s="24"/>
      <c r="V33" s="24"/>
      <c r="W33" s="24"/>
      <c r="X33" s="24"/>
      <c r="Y33" s="24"/>
      <c r="Z33" s="24"/>
      <c r="AA33" s="24"/>
      <c r="AB33" s="24"/>
    </row>
    <row r="34" spans="1:28" s="23" customFormat="1" ht="78.75">
      <c r="A34" s="24" t="s">
        <v>118</v>
      </c>
      <c r="B34" s="24" t="s">
        <v>87</v>
      </c>
      <c r="C34" s="25" t="s">
        <v>127</v>
      </c>
      <c r="D34" s="24"/>
      <c r="E34" s="24"/>
      <c r="F34" s="24"/>
      <c r="G34" s="24"/>
      <c r="H34" s="24" t="s">
        <v>117</v>
      </c>
      <c r="I34" s="24"/>
      <c r="J34" s="24"/>
      <c r="K34" s="24"/>
      <c r="L34" s="24"/>
      <c r="M34" s="24"/>
      <c r="N34" s="24"/>
      <c r="O34" s="24"/>
      <c r="P34" s="24"/>
      <c r="Q34" s="24"/>
      <c r="R34" s="24"/>
      <c r="S34" s="24"/>
      <c r="T34" s="24"/>
      <c r="U34" s="24"/>
      <c r="V34" s="24"/>
      <c r="W34" s="24"/>
      <c r="X34" s="24"/>
      <c r="Y34" s="24"/>
      <c r="Z34" s="24"/>
      <c r="AA34" s="24"/>
      <c r="AB34" s="24"/>
    </row>
    <row r="35" spans="1:28" s="23" customFormat="1">
      <c r="A35" s="24" t="s">
        <v>128</v>
      </c>
      <c r="B35" s="24" t="s">
        <v>87</v>
      </c>
      <c r="C35" s="25" t="s">
        <v>129</v>
      </c>
      <c r="D35" s="24"/>
      <c r="E35" s="24"/>
      <c r="F35" s="24"/>
      <c r="G35" s="24"/>
      <c r="H35" s="24"/>
      <c r="I35" s="24"/>
      <c r="J35" s="24"/>
      <c r="K35" s="24"/>
      <c r="L35" s="24"/>
      <c r="M35" s="24"/>
      <c r="N35" s="24"/>
      <c r="O35" s="24"/>
      <c r="P35" s="24"/>
      <c r="Q35" s="24"/>
      <c r="R35" s="24"/>
      <c r="S35" s="24"/>
      <c r="T35" s="24"/>
      <c r="U35" s="24"/>
      <c r="V35" s="24"/>
      <c r="W35" s="24"/>
      <c r="X35" s="24"/>
      <c r="Y35" s="24"/>
      <c r="Z35" s="24"/>
      <c r="AA35" s="24"/>
      <c r="AB35" s="24"/>
    </row>
    <row r="36" spans="1:28" s="23" customFormat="1">
      <c r="A36" s="24" t="s">
        <v>130</v>
      </c>
      <c r="B36" s="24" t="s">
        <v>87</v>
      </c>
      <c r="C36" s="25" t="s">
        <v>131</v>
      </c>
      <c r="D36" s="24"/>
      <c r="E36" s="24"/>
      <c r="F36" s="24"/>
      <c r="G36" s="24"/>
      <c r="H36" s="24"/>
      <c r="I36" s="24"/>
      <c r="J36" s="24"/>
      <c r="K36" s="24"/>
      <c r="L36" s="24"/>
      <c r="M36" s="24"/>
      <c r="N36" s="24"/>
      <c r="O36" s="24"/>
      <c r="P36" s="24"/>
      <c r="Q36" s="24"/>
      <c r="R36" s="24"/>
      <c r="S36" s="24"/>
      <c r="T36" s="24"/>
      <c r="U36" s="24"/>
      <c r="V36" s="24"/>
      <c r="W36" s="24"/>
      <c r="X36" s="24"/>
      <c r="Y36" s="24"/>
      <c r="Z36" s="24"/>
      <c r="AA36" s="24"/>
      <c r="AB36" s="24"/>
    </row>
    <row r="37" spans="1:28" s="23" customFormat="1">
      <c r="A37" s="24" t="s">
        <v>132</v>
      </c>
      <c r="B37" s="24" t="s">
        <v>87</v>
      </c>
      <c r="C37" s="25" t="s">
        <v>133</v>
      </c>
      <c r="D37" s="24"/>
      <c r="E37" s="24"/>
      <c r="F37" s="24"/>
      <c r="G37" s="24"/>
      <c r="H37" s="24"/>
      <c r="I37" s="24"/>
      <c r="J37" s="24"/>
      <c r="K37" s="24"/>
      <c r="L37" s="24"/>
      <c r="M37" s="24"/>
      <c r="N37" s="24"/>
      <c r="O37" s="24"/>
      <c r="P37" s="24"/>
      <c r="Q37" s="24"/>
      <c r="R37" s="24"/>
      <c r="S37" s="24"/>
      <c r="T37" s="24"/>
      <c r="U37" s="24"/>
      <c r="V37" s="24"/>
      <c r="W37" s="24"/>
      <c r="X37" s="24"/>
      <c r="Y37" s="24"/>
      <c r="Z37" s="24"/>
      <c r="AA37" s="24"/>
      <c r="AB37" s="24"/>
    </row>
    <row r="38" spans="1:28" s="23" customFormat="1">
      <c r="A38" s="24" t="s">
        <v>132</v>
      </c>
      <c r="B38" s="24" t="s">
        <v>87</v>
      </c>
      <c r="C38" s="25" t="s">
        <v>134</v>
      </c>
      <c r="D38" s="24"/>
      <c r="E38" s="24"/>
      <c r="F38" s="24"/>
      <c r="G38" s="24"/>
      <c r="H38" s="24" t="s">
        <v>135</v>
      </c>
      <c r="I38" s="24"/>
      <c r="J38" s="24"/>
      <c r="K38" s="24"/>
      <c r="L38" s="24"/>
      <c r="M38" s="24"/>
      <c r="N38" s="24"/>
      <c r="O38" s="24"/>
      <c r="P38" s="24"/>
      <c r="Q38" s="24"/>
      <c r="R38" s="24"/>
      <c r="S38" s="24"/>
      <c r="T38" s="24"/>
      <c r="U38" s="24"/>
      <c r="V38" s="24"/>
      <c r="W38" s="24"/>
      <c r="X38" s="24"/>
      <c r="Y38" s="24"/>
      <c r="Z38" s="24"/>
      <c r="AA38" s="24"/>
      <c r="AB38" s="24"/>
    </row>
    <row r="39" spans="1:28" s="23" customFormat="1">
      <c r="A39" s="24" t="s">
        <v>136</v>
      </c>
      <c r="B39" s="24" t="s">
        <v>87</v>
      </c>
      <c r="C39" s="25" t="s">
        <v>137</v>
      </c>
      <c r="D39" s="24"/>
      <c r="E39" s="24"/>
      <c r="F39" s="24"/>
      <c r="G39" s="24"/>
      <c r="H39" s="24"/>
      <c r="I39" s="24"/>
      <c r="J39" s="24"/>
      <c r="K39" s="24"/>
      <c r="L39" s="24"/>
      <c r="M39" s="24"/>
      <c r="N39" s="24"/>
      <c r="O39" s="24"/>
      <c r="P39" s="24"/>
      <c r="Q39" s="24"/>
      <c r="R39" s="24"/>
      <c r="S39" s="24"/>
      <c r="T39" s="24"/>
      <c r="U39" s="24"/>
      <c r="V39" s="24"/>
      <c r="W39" s="24"/>
      <c r="X39" s="24"/>
      <c r="Y39" s="24"/>
      <c r="Z39" s="24"/>
      <c r="AA39" s="24"/>
      <c r="AB39" s="24"/>
    </row>
    <row r="40" spans="1:28" s="23" customFormat="1">
      <c r="A40" s="24" t="s">
        <v>136</v>
      </c>
      <c r="B40" s="24" t="s">
        <v>87</v>
      </c>
      <c r="C40" s="25" t="s">
        <v>138</v>
      </c>
      <c r="D40" s="24"/>
      <c r="E40" s="24"/>
      <c r="F40" s="24"/>
      <c r="G40" s="24"/>
      <c r="H40" s="24" t="s">
        <v>135</v>
      </c>
      <c r="I40" s="24"/>
      <c r="J40" s="24"/>
      <c r="K40" s="24"/>
      <c r="L40" s="24"/>
      <c r="M40" s="24"/>
      <c r="N40" s="24"/>
      <c r="O40" s="24"/>
      <c r="P40" s="24"/>
      <c r="Q40" s="24"/>
      <c r="R40" s="24"/>
      <c r="S40" s="24"/>
      <c r="T40" s="24"/>
      <c r="U40" s="24"/>
      <c r="V40" s="24"/>
      <c r="W40" s="24"/>
      <c r="X40" s="24"/>
      <c r="Y40" s="24"/>
      <c r="Z40" s="24"/>
      <c r="AA40" s="24"/>
      <c r="AB40" s="24"/>
    </row>
    <row r="41" spans="1:28" s="23" customFormat="1">
      <c r="A41" s="24" t="s">
        <v>24</v>
      </c>
      <c r="B41" s="24" t="s">
        <v>87</v>
      </c>
      <c r="C41" s="25" t="s">
        <v>139</v>
      </c>
      <c r="D41" s="24"/>
      <c r="E41" s="24"/>
      <c r="F41" s="24"/>
      <c r="G41" s="24"/>
      <c r="H41" s="24"/>
      <c r="I41" s="24"/>
      <c r="J41" s="24"/>
      <c r="K41" s="24"/>
      <c r="L41" s="24"/>
      <c r="M41" s="24"/>
      <c r="N41" s="24"/>
      <c r="O41" s="24"/>
      <c r="P41" s="24"/>
      <c r="Q41" s="24"/>
      <c r="R41" s="24"/>
      <c r="S41" s="24"/>
      <c r="T41" s="24"/>
      <c r="U41" s="24"/>
      <c r="V41" s="24"/>
      <c r="W41" s="24"/>
      <c r="X41" s="24"/>
      <c r="Y41" s="24"/>
      <c r="Z41" s="24"/>
      <c r="AA41" s="24"/>
      <c r="AB41" s="24"/>
    </row>
    <row r="42" spans="1:28" s="23" customFormat="1" ht="31.5">
      <c r="A42" s="24" t="s">
        <v>24</v>
      </c>
      <c r="B42" s="24" t="s">
        <v>87</v>
      </c>
      <c r="C42" s="25" t="s">
        <v>140</v>
      </c>
      <c r="D42" s="24"/>
      <c r="E42" s="24"/>
      <c r="F42" s="24"/>
      <c r="G42" s="24"/>
      <c r="H42" s="24" t="s">
        <v>141</v>
      </c>
      <c r="I42" s="24"/>
      <c r="J42" s="24"/>
      <c r="K42" s="24"/>
      <c r="L42" s="24"/>
      <c r="M42" s="24"/>
      <c r="N42" s="24"/>
      <c r="O42" s="24"/>
      <c r="P42" s="24"/>
      <c r="Q42" s="24"/>
      <c r="R42" s="24"/>
      <c r="S42" s="24"/>
      <c r="T42" s="24"/>
      <c r="U42" s="24"/>
      <c r="V42" s="24"/>
      <c r="W42" s="24"/>
      <c r="X42" s="24"/>
      <c r="Y42" s="24"/>
      <c r="Z42" s="24"/>
      <c r="AA42" s="24"/>
      <c r="AB42" s="24"/>
    </row>
    <row r="43" spans="1:28" s="23" customFormat="1" ht="31.5">
      <c r="A43" s="24" t="s">
        <v>24</v>
      </c>
      <c r="B43" s="24" t="s">
        <v>87</v>
      </c>
      <c r="C43" s="25" t="s">
        <v>142</v>
      </c>
      <c r="D43" s="24"/>
      <c r="E43" s="24"/>
      <c r="F43" s="24"/>
      <c r="G43" s="24"/>
      <c r="H43" s="24" t="s">
        <v>143</v>
      </c>
      <c r="I43" s="24"/>
      <c r="J43" s="24"/>
      <c r="K43" s="24"/>
      <c r="L43" s="24"/>
      <c r="M43" s="24"/>
      <c r="N43" s="24"/>
      <c r="O43" s="24"/>
      <c r="P43" s="24"/>
      <c r="Q43" s="24"/>
      <c r="R43" s="24"/>
      <c r="S43" s="24"/>
      <c r="T43" s="24"/>
      <c r="U43" s="24"/>
      <c r="V43" s="24"/>
      <c r="W43" s="24"/>
      <c r="X43" s="24"/>
      <c r="Y43" s="24"/>
      <c r="Z43" s="24"/>
      <c r="AA43" s="24"/>
      <c r="AB43" s="24"/>
    </row>
    <row r="44" spans="1:28" s="23" customFormat="1" ht="31.5">
      <c r="A44" s="24" t="s">
        <v>24</v>
      </c>
      <c r="B44" s="24" t="s">
        <v>87</v>
      </c>
      <c r="C44" s="25" t="s">
        <v>144</v>
      </c>
      <c r="D44" s="24"/>
      <c r="E44" s="24"/>
      <c r="F44" s="24"/>
      <c r="G44" s="24"/>
      <c r="H44" s="24" t="s">
        <v>145</v>
      </c>
      <c r="I44" s="24"/>
      <c r="J44" s="24"/>
      <c r="K44" s="24"/>
      <c r="L44" s="24"/>
      <c r="M44" s="24"/>
      <c r="N44" s="24"/>
      <c r="O44" s="24"/>
      <c r="P44" s="24"/>
      <c r="Q44" s="24"/>
      <c r="R44" s="24"/>
      <c r="S44" s="24"/>
      <c r="T44" s="24"/>
      <c r="U44" s="24"/>
      <c r="V44" s="24"/>
      <c r="W44" s="24"/>
      <c r="X44" s="24"/>
      <c r="Y44" s="24"/>
      <c r="Z44" s="24"/>
      <c r="AA44" s="24"/>
      <c r="AB44" s="24"/>
    </row>
    <row r="45" spans="1:28" s="23" customFormat="1">
      <c r="A45" s="24" t="s">
        <v>146</v>
      </c>
      <c r="B45" s="24" t="s">
        <v>87</v>
      </c>
      <c r="C45" s="25" t="s">
        <v>147</v>
      </c>
      <c r="D45" s="24"/>
      <c r="E45" s="24"/>
      <c r="F45" s="24"/>
      <c r="G45" s="24"/>
      <c r="H45" s="24"/>
      <c r="I45" s="24"/>
      <c r="J45" s="24"/>
      <c r="K45" s="24"/>
      <c r="L45" s="24"/>
      <c r="M45" s="24"/>
      <c r="N45" s="24"/>
      <c r="O45" s="24"/>
      <c r="P45" s="24"/>
      <c r="Q45" s="24"/>
      <c r="R45" s="24"/>
      <c r="S45" s="24"/>
      <c r="T45" s="24"/>
      <c r="U45" s="24"/>
      <c r="V45" s="24"/>
      <c r="W45" s="24"/>
      <c r="X45" s="24"/>
      <c r="Y45" s="24"/>
      <c r="Z45" s="24"/>
      <c r="AA45" s="24"/>
      <c r="AB45" s="24"/>
    </row>
    <row r="46" spans="1:28" s="23" customFormat="1">
      <c r="A46" s="24" t="s">
        <v>148</v>
      </c>
      <c r="B46" s="24" t="s">
        <v>87</v>
      </c>
      <c r="C46" s="25" t="s">
        <v>149</v>
      </c>
      <c r="D46" s="24"/>
      <c r="E46" s="24"/>
      <c r="F46" s="24"/>
      <c r="G46" s="24"/>
      <c r="H46" s="24"/>
      <c r="I46" s="24"/>
      <c r="J46" s="24"/>
      <c r="K46" s="24"/>
      <c r="L46" s="24"/>
      <c r="M46" s="24"/>
      <c r="N46" s="24"/>
      <c r="O46" s="24"/>
      <c r="P46" s="24"/>
      <c r="Q46" s="24"/>
      <c r="R46" s="24"/>
      <c r="S46" s="24"/>
      <c r="T46" s="24"/>
      <c r="U46" s="24"/>
      <c r="V46" s="24"/>
      <c r="W46" s="24"/>
      <c r="X46" s="24"/>
      <c r="Y46" s="24"/>
      <c r="Z46" s="24"/>
      <c r="AA46" s="24"/>
      <c r="AB46" s="24"/>
    </row>
    <row r="47" spans="1:28" s="23" customFormat="1">
      <c r="A47" s="24" t="s">
        <v>36</v>
      </c>
      <c r="B47" s="24" t="s">
        <v>87</v>
      </c>
      <c r="C47" s="25" t="s">
        <v>150</v>
      </c>
      <c r="D47" s="24"/>
      <c r="E47" s="24"/>
      <c r="F47" s="24"/>
      <c r="G47" s="24"/>
      <c r="H47" s="24"/>
      <c r="I47" s="24"/>
      <c r="J47" s="24"/>
      <c r="K47" s="24"/>
      <c r="L47" s="24"/>
      <c r="M47" s="24"/>
      <c r="N47" s="24"/>
      <c r="O47" s="24"/>
      <c r="P47" s="24"/>
      <c r="Q47" s="24"/>
      <c r="R47" s="24"/>
      <c r="S47" s="24"/>
      <c r="T47" s="24"/>
      <c r="U47" s="24"/>
      <c r="V47" s="24"/>
      <c r="W47" s="24"/>
      <c r="X47" s="24"/>
      <c r="Y47" s="24"/>
      <c r="Z47" s="24"/>
      <c r="AA47" s="24"/>
      <c r="AB47" s="24"/>
    </row>
    <row r="48" spans="1:28" s="23" customFormat="1">
      <c r="A48" s="24" t="s">
        <v>27</v>
      </c>
      <c r="B48" s="24" t="s">
        <v>87</v>
      </c>
      <c r="C48" s="25"/>
      <c r="D48" s="24"/>
      <c r="E48" s="24"/>
      <c r="F48" s="24"/>
      <c r="G48" s="24"/>
      <c r="H48" s="24"/>
      <c r="I48" s="24"/>
      <c r="J48" s="24"/>
      <c r="K48" s="24"/>
      <c r="L48" s="24"/>
      <c r="M48" s="24"/>
      <c r="N48" s="24"/>
      <c r="O48" s="24"/>
      <c r="P48" s="24"/>
      <c r="Q48" s="24"/>
      <c r="R48" s="24"/>
      <c r="S48" s="24"/>
      <c r="T48" s="24"/>
      <c r="U48" s="24"/>
      <c r="V48" s="24"/>
      <c r="W48" s="24"/>
      <c r="X48" s="24"/>
      <c r="Y48" s="24"/>
      <c r="Z48" s="24"/>
      <c r="AA48" s="24"/>
      <c r="AB48" s="24"/>
    </row>
    <row r="49" spans="1:28" s="23" customFormat="1">
      <c r="A49" s="24" t="s">
        <v>28</v>
      </c>
      <c r="B49" s="24" t="s">
        <v>87</v>
      </c>
      <c r="C49" s="25"/>
      <c r="D49" s="24"/>
      <c r="E49" s="24"/>
      <c r="F49" s="24"/>
      <c r="G49" s="24"/>
      <c r="H49" s="24"/>
      <c r="I49" s="24"/>
      <c r="J49" s="24"/>
      <c r="K49" s="24"/>
      <c r="L49" s="24"/>
      <c r="M49" s="24"/>
      <c r="N49" s="24"/>
      <c r="O49" s="24"/>
      <c r="P49" s="24"/>
      <c r="Q49" s="24"/>
      <c r="R49" s="24"/>
      <c r="S49" s="24"/>
      <c r="T49" s="24"/>
      <c r="U49" s="24"/>
      <c r="V49" s="24"/>
      <c r="W49" s="24"/>
      <c r="X49" s="24"/>
      <c r="Y49" s="24"/>
      <c r="Z49" s="24"/>
      <c r="AA49" s="24"/>
      <c r="AB49" s="24"/>
    </row>
    <row r="50" spans="1:28" s="23" customFormat="1">
      <c r="A50" s="24" t="s">
        <v>29</v>
      </c>
      <c r="B50" s="24" t="s">
        <v>87</v>
      </c>
      <c r="C50" s="25"/>
      <c r="D50" s="24"/>
      <c r="E50" s="24"/>
      <c r="F50" s="24"/>
      <c r="G50" s="24"/>
      <c r="H50" s="24"/>
      <c r="I50" s="24"/>
      <c r="J50" s="24"/>
      <c r="K50" s="24"/>
      <c r="L50" s="24"/>
      <c r="M50" s="24"/>
      <c r="N50" s="24"/>
      <c r="O50" s="24"/>
      <c r="P50" s="24"/>
      <c r="Q50" s="24"/>
      <c r="R50" s="24"/>
      <c r="S50" s="24"/>
      <c r="T50" s="24"/>
      <c r="U50" s="24"/>
      <c r="V50" s="24"/>
      <c r="W50" s="24"/>
      <c r="X50" s="24"/>
      <c r="Y50" s="24"/>
      <c r="Z50" s="24"/>
      <c r="AA50" s="24"/>
      <c r="AB50" s="24"/>
    </row>
    <row r="51" spans="1:28" s="23" customFormat="1">
      <c r="A51" s="24" t="s">
        <v>30</v>
      </c>
      <c r="B51" s="24" t="s">
        <v>87</v>
      </c>
      <c r="C51" s="25"/>
      <c r="D51" s="24"/>
      <c r="E51" s="24"/>
      <c r="F51" s="24"/>
      <c r="G51" s="24"/>
      <c r="H51" s="24"/>
      <c r="I51" s="24"/>
      <c r="J51" s="24"/>
      <c r="K51" s="24"/>
      <c r="L51" s="24"/>
      <c r="M51" s="24"/>
      <c r="N51" s="24"/>
      <c r="O51" s="24"/>
      <c r="P51" s="24"/>
      <c r="Q51" s="24"/>
      <c r="R51" s="24"/>
      <c r="S51" s="24"/>
      <c r="T51" s="24"/>
      <c r="U51" s="24"/>
      <c r="V51" s="24"/>
      <c r="W51" s="24"/>
      <c r="X51" s="24"/>
      <c r="Y51" s="24"/>
      <c r="Z51" s="24"/>
      <c r="AA51" s="24"/>
      <c r="AB51" s="24"/>
    </row>
    <row r="52" spans="1:28" s="23" customFormat="1">
      <c r="A52" s="24" t="s">
        <v>32</v>
      </c>
      <c r="B52" s="24" t="s">
        <v>87</v>
      </c>
      <c r="C52" s="25"/>
      <c r="D52" s="24"/>
      <c r="E52" s="24"/>
      <c r="F52" s="24"/>
      <c r="G52" s="24"/>
      <c r="H52" s="24"/>
      <c r="I52" s="24"/>
      <c r="J52" s="24"/>
      <c r="K52" s="24"/>
      <c r="L52" s="24"/>
      <c r="M52" s="24"/>
      <c r="N52" s="24"/>
      <c r="O52" s="24"/>
      <c r="P52" s="24"/>
      <c r="Q52" s="24"/>
      <c r="R52" s="24"/>
      <c r="S52" s="24"/>
      <c r="T52" s="24"/>
      <c r="U52" s="24"/>
      <c r="V52" s="24"/>
      <c r="W52" s="24"/>
      <c r="X52" s="24"/>
      <c r="Y52" s="24"/>
      <c r="Z52" s="24"/>
      <c r="AA52" s="24"/>
      <c r="AB52" s="24"/>
    </row>
    <row r="53" spans="1:28" s="23" customFormat="1">
      <c r="A53" s="24" t="s">
        <v>31</v>
      </c>
      <c r="B53" s="24" t="s">
        <v>87</v>
      </c>
      <c r="C53" s="25"/>
      <c r="D53" s="24"/>
      <c r="E53" s="24"/>
      <c r="F53" s="24"/>
      <c r="G53" s="24"/>
      <c r="H53" s="24"/>
      <c r="I53" s="24"/>
      <c r="J53" s="24"/>
      <c r="K53" s="24"/>
      <c r="L53" s="24"/>
      <c r="M53" s="24"/>
      <c r="N53" s="24"/>
      <c r="O53" s="24"/>
      <c r="P53" s="24"/>
      <c r="Q53" s="24"/>
      <c r="R53" s="24"/>
      <c r="S53" s="24"/>
      <c r="T53" s="24"/>
      <c r="U53" s="24"/>
      <c r="V53" s="24"/>
      <c r="W53" s="24"/>
      <c r="X53" s="24"/>
      <c r="Y53" s="24"/>
      <c r="Z53" s="24"/>
      <c r="AA53" s="24"/>
      <c r="AB53" s="24"/>
    </row>
    <row r="54" spans="1:28" s="23" customFormat="1">
      <c r="A54" s="24" t="s">
        <v>151</v>
      </c>
      <c r="B54" s="24" t="s">
        <v>87</v>
      </c>
      <c r="C54" s="25"/>
      <c r="D54" s="24"/>
      <c r="E54" s="24"/>
      <c r="F54" s="24"/>
      <c r="G54" s="24"/>
      <c r="H54" s="24"/>
      <c r="I54" s="24"/>
      <c r="J54" s="24"/>
      <c r="K54" s="24"/>
      <c r="L54" s="24"/>
      <c r="M54" s="24"/>
      <c r="N54" s="24"/>
      <c r="O54" s="24"/>
      <c r="P54" s="24"/>
      <c r="Q54" s="24"/>
      <c r="R54" s="24"/>
      <c r="S54" s="24"/>
      <c r="T54" s="24"/>
      <c r="U54" s="24"/>
      <c r="V54" s="24"/>
      <c r="W54" s="24"/>
      <c r="X54" s="24"/>
      <c r="Y54" s="24"/>
      <c r="Z54" s="24"/>
      <c r="AA54" s="24"/>
      <c r="AB54" s="24"/>
    </row>
    <row r="55" spans="1:28" s="23" customFormat="1">
      <c r="A55" s="24" t="s">
        <v>41</v>
      </c>
      <c r="B55" s="24" t="s">
        <v>87</v>
      </c>
      <c r="C55" s="25"/>
      <c r="D55" s="24"/>
      <c r="E55" s="24"/>
      <c r="F55" s="24"/>
      <c r="G55" s="24"/>
      <c r="H55" s="24"/>
      <c r="I55" s="24"/>
      <c r="J55" s="24"/>
      <c r="K55" s="24"/>
      <c r="L55" s="24"/>
      <c r="M55" s="24"/>
      <c r="N55" s="24"/>
      <c r="O55" s="24"/>
      <c r="P55" s="24"/>
      <c r="Q55" s="24"/>
      <c r="R55" s="24" t="s">
        <v>152</v>
      </c>
      <c r="S55" s="24"/>
      <c r="T55" s="24"/>
      <c r="U55" s="24"/>
      <c r="V55" s="24"/>
      <c r="W55" s="24"/>
      <c r="X55" s="24"/>
      <c r="Y55" s="24"/>
      <c r="Z55" s="24"/>
      <c r="AA55" s="24"/>
      <c r="AB55" s="24"/>
    </row>
    <row r="56" spans="1:28" s="23" customFormat="1">
      <c r="A56" s="24" t="s">
        <v>153</v>
      </c>
      <c r="B56" s="24" t="s">
        <v>87</v>
      </c>
      <c r="C56" s="25"/>
      <c r="D56" s="24"/>
      <c r="E56" s="24"/>
      <c r="F56" s="24"/>
      <c r="G56" s="24"/>
      <c r="H56" s="24"/>
      <c r="I56" s="24"/>
      <c r="J56" s="24"/>
      <c r="K56" s="24"/>
      <c r="L56" s="24"/>
      <c r="M56" s="24"/>
      <c r="N56" s="24"/>
      <c r="O56" s="24"/>
      <c r="P56" s="24"/>
      <c r="Q56" s="24"/>
      <c r="R56" s="24" t="s">
        <v>154</v>
      </c>
      <c r="S56" s="24"/>
      <c r="T56" s="24"/>
      <c r="U56" s="24"/>
      <c r="V56" s="24"/>
      <c r="W56" s="24"/>
      <c r="X56" s="24"/>
      <c r="Y56" s="24"/>
      <c r="Z56" s="24"/>
      <c r="AA56" s="24"/>
      <c r="AB56" s="24"/>
    </row>
    <row r="57" spans="1:28" s="23" customFormat="1">
      <c r="A57" s="24" t="s">
        <v>155</v>
      </c>
      <c r="B57" s="24" t="s">
        <v>87</v>
      </c>
      <c r="C57" s="25"/>
      <c r="D57" s="24"/>
      <c r="E57" s="24"/>
      <c r="F57" s="24"/>
      <c r="G57" s="24"/>
      <c r="H57" s="24" t="s">
        <v>156</v>
      </c>
      <c r="I57" s="24"/>
      <c r="J57" s="24"/>
      <c r="K57" s="24"/>
      <c r="L57" s="24"/>
      <c r="M57" s="24"/>
      <c r="N57" s="24"/>
      <c r="O57" s="24"/>
      <c r="P57" s="24"/>
      <c r="Q57" s="24"/>
      <c r="R57" s="24"/>
      <c r="S57" s="24"/>
      <c r="T57" s="24"/>
      <c r="U57" s="24"/>
      <c r="V57" s="24"/>
      <c r="W57" s="24"/>
      <c r="X57" s="24"/>
      <c r="Y57" s="24"/>
      <c r="Z57" s="24"/>
      <c r="AA57" s="24"/>
      <c r="AB57" s="24"/>
    </row>
    <row r="58" spans="1:28" s="23" customFormat="1">
      <c r="A58" s="24" t="s">
        <v>157</v>
      </c>
      <c r="B58" s="24" t="s">
        <v>87</v>
      </c>
      <c r="C58" s="25"/>
      <c r="D58" s="24"/>
      <c r="E58" s="24"/>
      <c r="F58" s="24"/>
      <c r="G58" s="24"/>
      <c r="H58" s="24" t="s">
        <v>158</v>
      </c>
      <c r="I58" s="24"/>
      <c r="J58" s="24"/>
      <c r="K58" s="24"/>
      <c r="L58" s="24"/>
      <c r="M58" s="24"/>
      <c r="N58" s="24"/>
      <c r="O58" s="24"/>
      <c r="P58" s="24"/>
      <c r="Q58" s="24"/>
      <c r="R58" s="24"/>
      <c r="S58" s="24"/>
      <c r="T58" s="24"/>
      <c r="U58" s="24"/>
      <c r="V58" s="24"/>
      <c r="W58" s="24"/>
      <c r="X58" s="24"/>
      <c r="Y58" s="24"/>
      <c r="Z58" s="24"/>
      <c r="AA58" s="24"/>
      <c r="AB58" s="24"/>
    </row>
    <row r="59" spans="1:28" s="23" customFormat="1">
      <c r="A59" s="24" t="s">
        <v>157</v>
      </c>
      <c r="B59" s="24" t="s">
        <v>87</v>
      </c>
      <c r="C59" s="25"/>
      <c r="D59" s="24"/>
      <c r="E59" s="24"/>
      <c r="F59" s="24"/>
      <c r="G59" s="24"/>
      <c r="H59" s="24" t="s">
        <v>159</v>
      </c>
      <c r="I59" s="24"/>
      <c r="J59" s="24"/>
      <c r="K59" s="24"/>
      <c r="L59" s="24"/>
      <c r="M59" s="24"/>
      <c r="N59" s="24"/>
      <c r="O59" s="24"/>
      <c r="P59" s="24"/>
      <c r="Q59" s="24"/>
      <c r="R59" s="24"/>
      <c r="S59" s="24"/>
      <c r="T59" s="24"/>
      <c r="U59" s="24"/>
      <c r="V59" s="24"/>
      <c r="W59" s="24"/>
      <c r="X59" s="24"/>
      <c r="Y59" s="24"/>
      <c r="Z59" s="24"/>
      <c r="AA59" s="24"/>
      <c r="AB59" s="24"/>
    </row>
    <row r="60" spans="1:28" s="23" customFormat="1">
      <c r="A60" s="24" t="s">
        <v>157</v>
      </c>
      <c r="B60" s="24" t="s">
        <v>87</v>
      </c>
      <c r="C60" s="25"/>
      <c r="D60" s="24"/>
      <c r="E60" s="24"/>
      <c r="F60" s="24"/>
      <c r="G60" s="24"/>
      <c r="H60" s="24" t="s">
        <v>160</v>
      </c>
      <c r="I60" s="24"/>
      <c r="J60" s="24"/>
      <c r="K60" s="24"/>
      <c r="L60" s="24"/>
      <c r="M60" s="24"/>
      <c r="N60" s="24"/>
      <c r="O60" s="24"/>
      <c r="P60" s="24"/>
      <c r="Q60" s="24"/>
      <c r="R60" s="24"/>
      <c r="S60" s="24"/>
      <c r="T60" s="24"/>
      <c r="U60" s="24"/>
      <c r="V60" s="24"/>
      <c r="W60" s="24"/>
      <c r="X60" s="24"/>
      <c r="Y60" s="24"/>
      <c r="Z60" s="24"/>
      <c r="AA60" s="24"/>
      <c r="AB60" s="24"/>
    </row>
    <row r="61" spans="1:28" s="23" customFormat="1">
      <c r="A61" s="24" t="s">
        <v>39</v>
      </c>
      <c r="B61" s="24" t="s">
        <v>161</v>
      </c>
      <c r="C61" s="25" t="s">
        <v>162</v>
      </c>
      <c r="D61" s="24"/>
      <c r="E61" s="24"/>
      <c r="F61" s="24"/>
      <c r="G61" s="24"/>
      <c r="H61" s="24"/>
      <c r="I61" s="24"/>
      <c r="J61" s="24"/>
      <c r="K61" s="24"/>
      <c r="L61" s="24"/>
      <c r="M61" s="24"/>
      <c r="N61" s="24"/>
      <c r="O61" s="24"/>
      <c r="P61" s="24"/>
      <c r="Q61" s="24"/>
      <c r="R61" s="24"/>
      <c r="S61" s="24"/>
      <c r="T61" s="24"/>
      <c r="U61" s="24"/>
      <c r="V61" s="24"/>
      <c r="W61" s="24"/>
      <c r="X61" s="24"/>
      <c r="Y61" s="24"/>
      <c r="Z61" s="24"/>
      <c r="AA61" s="24"/>
      <c r="AB61" s="24"/>
    </row>
    <row r="62" spans="1:28" s="23" customFormat="1">
      <c r="A62" s="24" t="s">
        <v>163</v>
      </c>
      <c r="B62" s="24"/>
      <c r="C62" s="25"/>
      <c r="D62" s="24"/>
      <c r="E62" s="24"/>
      <c r="F62" s="24"/>
      <c r="G62" s="24"/>
      <c r="H62" s="24"/>
      <c r="I62" s="24"/>
      <c r="J62" s="24"/>
      <c r="K62" s="24"/>
      <c r="L62" s="24"/>
      <c r="M62" s="24"/>
      <c r="N62" s="24"/>
      <c r="O62" s="24"/>
      <c r="P62" s="24"/>
      <c r="Q62" s="24"/>
      <c r="R62" s="24"/>
      <c r="S62" s="24"/>
      <c r="T62" s="24"/>
      <c r="U62" s="24"/>
      <c r="V62" s="24"/>
      <c r="W62" s="24"/>
      <c r="X62" s="24"/>
      <c r="Y62" s="24"/>
      <c r="Z62" s="24"/>
      <c r="AA62" s="24"/>
      <c r="AB62" s="24"/>
    </row>
    <row r="63" spans="1:28" s="23" customFormat="1">
      <c r="A63" s="24" t="s">
        <v>46</v>
      </c>
      <c r="B63" s="24" t="s">
        <v>161</v>
      </c>
      <c r="C63" s="25"/>
      <c r="D63" s="24"/>
      <c r="E63" s="24"/>
      <c r="F63" s="24"/>
      <c r="G63" s="24"/>
      <c r="H63" s="24"/>
      <c r="I63" s="24"/>
      <c r="J63" s="24"/>
      <c r="K63" s="24"/>
      <c r="L63" s="24"/>
      <c r="M63" s="24"/>
      <c r="N63" s="24"/>
      <c r="O63" s="24"/>
      <c r="P63" s="24"/>
      <c r="Q63" s="24"/>
      <c r="R63" s="24"/>
      <c r="S63" s="24"/>
      <c r="T63" s="24"/>
      <c r="U63" s="24"/>
      <c r="V63" s="24"/>
      <c r="W63" s="24"/>
      <c r="X63" s="24"/>
      <c r="Y63" s="24"/>
      <c r="Z63" s="24"/>
      <c r="AA63" s="24"/>
      <c r="AB63" s="24"/>
    </row>
    <row r="64" spans="1:28" s="23" customFormat="1">
      <c r="A64" s="24" t="s">
        <v>40</v>
      </c>
      <c r="B64" s="24" t="s">
        <v>164</v>
      </c>
      <c r="C64" s="25" t="s">
        <v>165</v>
      </c>
      <c r="D64" s="24"/>
      <c r="E64" s="24"/>
      <c r="F64" s="24"/>
      <c r="G64" s="24"/>
      <c r="H64" s="24"/>
      <c r="I64" s="24"/>
      <c r="J64" s="24"/>
      <c r="K64" s="24"/>
      <c r="L64" s="24"/>
      <c r="M64" s="24"/>
      <c r="N64" s="24"/>
      <c r="O64" s="24"/>
      <c r="P64" s="24"/>
      <c r="Q64" s="24"/>
      <c r="R64" s="24"/>
      <c r="S64" s="24"/>
      <c r="T64" s="24"/>
      <c r="U64" s="24"/>
      <c r="V64" s="24"/>
      <c r="W64" s="24"/>
      <c r="X64" s="24"/>
      <c r="Y64" s="24"/>
      <c r="Z64" s="24"/>
      <c r="AA64" s="24"/>
      <c r="AB64" s="24"/>
    </row>
    <row r="65" spans="1:28" s="23" customFormat="1">
      <c r="A65" s="24" t="s">
        <v>163</v>
      </c>
      <c r="B65" s="24"/>
      <c r="C65" s="25"/>
      <c r="D65" s="24"/>
      <c r="E65" s="24"/>
      <c r="F65" s="24"/>
      <c r="G65" s="24"/>
      <c r="H65" s="24"/>
      <c r="I65" s="24"/>
      <c r="J65" s="24"/>
      <c r="K65" s="24"/>
      <c r="L65" s="24"/>
      <c r="M65" s="24"/>
      <c r="N65" s="24"/>
      <c r="O65" s="24"/>
      <c r="P65" s="24"/>
      <c r="Q65" s="24"/>
      <c r="R65" s="24"/>
      <c r="S65" s="24"/>
      <c r="T65" s="24"/>
      <c r="U65" s="24"/>
      <c r="V65" s="24"/>
      <c r="W65" s="24"/>
      <c r="X65" s="24"/>
      <c r="Y65" s="24"/>
      <c r="Z65" s="24"/>
      <c r="AA65" s="24"/>
      <c r="AB65" s="24"/>
    </row>
    <row r="66" spans="1:28" s="23" customFormat="1">
      <c r="A66" s="24" t="s">
        <v>44</v>
      </c>
      <c r="B66" s="24" t="s">
        <v>164</v>
      </c>
      <c r="C66" s="25"/>
      <c r="D66" s="24"/>
      <c r="E66" s="24"/>
      <c r="F66" s="24"/>
      <c r="G66" s="24"/>
      <c r="H66" s="24"/>
      <c r="I66" s="24"/>
      <c r="J66" s="24"/>
      <c r="K66" s="24"/>
      <c r="L66" s="24"/>
      <c r="M66" s="24"/>
      <c r="N66" s="24"/>
      <c r="O66" s="24"/>
      <c r="P66" s="24"/>
      <c r="Q66" s="24"/>
      <c r="R66" s="24"/>
      <c r="S66" s="24"/>
      <c r="T66" s="24"/>
      <c r="U66" s="24"/>
      <c r="V66" s="24"/>
      <c r="W66" s="24"/>
      <c r="X66" s="24"/>
      <c r="Y66" s="24"/>
      <c r="Z66" s="24"/>
      <c r="AA66" s="24"/>
      <c r="AB66" s="24"/>
    </row>
    <row r="67" spans="1:28" s="23" customFormat="1">
      <c r="A67" s="24" t="s">
        <v>40</v>
      </c>
      <c r="B67" s="24" t="s">
        <v>164</v>
      </c>
      <c r="C67" s="25" t="s">
        <v>166</v>
      </c>
      <c r="D67" s="24"/>
      <c r="E67" s="24"/>
      <c r="F67" s="24"/>
      <c r="G67" s="24"/>
      <c r="H67" s="24"/>
      <c r="I67" s="24"/>
      <c r="J67" s="24"/>
      <c r="K67" s="24"/>
      <c r="L67" s="24"/>
      <c r="M67" s="24"/>
      <c r="N67" s="24"/>
      <c r="O67" s="24"/>
      <c r="P67" s="24"/>
      <c r="Q67" s="24"/>
      <c r="R67" s="24"/>
      <c r="S67" s="27">
        <v>3</v>
      </c>
      <c r="T67" s="24"/>
      <c r="U67" s="24"/>
      <c r="V67" s="24"/>
      <c r="W67" s="24"/>
      <c r="X67" s="24"/>
      <c r="Y67" s="24"/>
      <c r="Z67" s="24"/>
      <c r="AA67" s="24"/>
      <c r="AB67" s="24"/>
    </row>
    <row r="68" spans="1:28" s="23" customFormat="1">
      <c r="A68" s="24" t="s">
        <v>163</v>
      </c>
      <c r="B68" s="24"/>
      <c r="C68" s="25"/>
      <c r="D68" s="24"/>
      <c r="E68" s="24"/>
      <c r="F68" s="24"/>
      <c r="G68" s="24"/>
      <c r="H68" s="24"/>
      <c r="I68" s="24"/>
      <c r="J68" s="24"/>
      <c r="K68" s="24"/>
      <c r="L68" s="24"/>
      <c r="M68" s="24"/>
      <c r="N68" s="24"/>
      <c r="O68" s="24"/>
      <c r="P68" s="24"/>
      <c r="Q68" s="24"/>
      <c r="R68" s="24"/>
      <c r="S68" s="24"/>
      <c r="T68" s="24"/>
      <c r="U68" s="24"/>
      <c r="V68" s="24"/>
      <c r="W68" s="24"/>
      <c r="X68" s="24"/>
      <c r="Y68" s="24"/>
      <c r="Z68" s="24"/>
      <c r="AA68" s="24"/>
      <c r="AB68" s="24"/>
    </row>
    <row r="69" spans="1:28" s="23" customFormat="1">
      <c r="A69" s="24" t="s">
        <v>44</v>
      </c>
      <c r="B69" s="24" t="s">
        <v>164</v>
      </c>
      <c r="C69" s="25"/>
      <c r="D69" s="24"/>
      <c r="E69" s="24"/>
      <c r="F69" s="24"/>
      <c r="G69" s="24"/>
      <c r="H69" s="24"/>
      <c r="I69" s="24"/>
      <c r="J69" s="24"/>
      <c r="K69" s="24"/>
      <c r="L69" s="24"/>
      <c r="M69" s="24"/>
      <c r="N69" s="24"/>
      <c r="O69" s="24"/>
      <c r="P69" s="24"/>
      <c r="Q69" s="24"/>
      <c r="R69" s="24"/>
      <c r="S69" s="24"/>
      <c r="T69" s="24"/>
      <c r="U69" s="24"/>
      <c r="V69" s="24"/>
      <c r="W69" s="24"/>
      <c r="X69" s="24"/>
      <c r="Y69" s="24"/>
      <c r="Z69" s="24"/>
      <c r="AA69" s="24"/>
      <c r="AB69" s="24"/>
    </row>
    <row r="71" spans="1:28">
      <c r="A71" s="68" t="s">
        <v>167</v>
      </c>
      <c r="B71" s="69"/>
      <c r="C71" s="28"/>
      <c r="D71" s="29"/>
      <c r="E71" s="30"/>
      <c r="F71" s="30"/>
      <c r="G71" s="30"/>
      <c r="H71" s="30"/>
      <c r="I71" s="30"/>
      <c r="J71" s="30"/>
      <c r="K71" s="30"/>
      <c r="L71" s="30"/>
      <c r="M71" s="30"/>
      <c r="N71" s="30"/>
      <c r="O71" s="30"/>
      <c r="P71" s="30"/>
      <c r="Q71" s="30"/>
      <c r="R71" s="30"/>
      <c r="S71" s="30"/>
      <c r="T71" s="30"/>
      <c r="U71" s="30"/>
      <c r="V71" s="30"/>
      <c r="W71" s="30"/>
      <c r="X71" s="30"/>
      <c r="Y71" s="30"/>
      <c r="Z71" s="30"/>
      <c r="AA71" s="30"/>
      <c r="AB71" s="30"/>
    </row>
    <row r="73" spans="1:28">
      <c r="A73" s="31" t="s">
        <v>168</v>
      </c>
      <c r="B73" s="31" t="s">
        <v>169</v>
      </c>
      <c r="C73" s="31" t="s">
        <v>170</v>
      </c>
      <c r="D73" s="31" t="s">
        <v>171</v>
      </c>
    </row>
    <row r="74" spans="1:28">
      <c r="A74" s="32" t="s">
        <v>172</v>
      </c>
      <c r="B74" s="32" t="s">
        <v>173</v>
      </c>
      <c r="C74" s="32" t="s">
        <v>174</v>
      </c>
      <c r="D74" s="32">
        <v>2</v>
      </c>
    </row>
    <row r="75" spans="1:28">
      <c r="A75" s="32" t="s">
        <v>175</v>
      </c>
      <c r="B75" s="32" t="s">
        <v>176</v>
      </c>
      <c r="C75" s="33" t="str">
        <f>"3 - 2"</f>
        <v>3 - 2</v>
      </c>
      <c r="D75" s="32">
        <v>1</v>
      </c>
    </row>
    <row r="76" spans="1:28">
      <c r="A76" s="32" t="s">
        <v>177</v>
      </c>
      <c r="B76" s="32" t="s">
        <v>178</v>
      </c>
      <c r="C76" s="32" t="s">
        <v>179</v>
      </c>
      <c r="D76" s="32">
        <v>6</v>
      </c>
    </row>
    <row r="77" spans="1:28">
      <c r="A77" s="32" t="s">
        <v>180</v>
      </c>
      <c r="B77" s="32" t="s">
        <v>181</v>
      </c>
      <c r="C77" s="32" t="s">
        <v>182</v>
      </c>
      <c r="D77" s="32">
        <v>5</v>
      </c>
    </row>
    <row r="78" spans="1:28">
      <c r="A78" s="32" t="s">
        <v>183</v>
      </c>
      <c r="B78" s="32" t="s">
        <v>184</v>
      </c>
      <c r="C78" s="32" t="s">
        <v>185</v>
      </c>
      <c r="D78" s="32">
        <v>1</v>
      </c>
    </row>
    <row r="79" spans="1:28">
      <c r="A79" s="32" t="s">
        <v>186</v>
      </c>
      <c r="B79" s="32" t="s">
        <v>187</v>
      </c>
      <c r="C79" s="32" t="s">
        <v>188</v>
      </c>
      <c r="D79" s="32" t="s">
        <v>189</v>
      </c>
    </row>
    <row r="80" spans="1:28">
      <c r="A80" s="32" t="s">
        <v>190</v>
      </c>
      <c r="B80" s="32" t="s">
        <v>191</v>
      </c>
      <c r="C80" s="32" t="s">
        <v>192</v>
      </c>
      <c r="D80" s="32" t="s">
        <v>189</v>
      </c>
    </row>
    <row r="81" spans="1:4">
      <c r="A81" s="32" t="s">
        <v>193</v>
      </c>
      <c r="B81" s="32" t="s">
        <v>194</v>
      </c>
      <c r="C81" s="32" t="s">
        <v>195</v>
      </c>
      <c r="D81" s="32" t="s">
        <v>189</v>
      </c>
    </row>
    <row r="82" spans="1:4">
      <c r="A82" s="32" t="s">
        <v>196</v>
      </c>
      <c r="B82" s="32" t="s">
        <v>197</v>
      </c>
      <c r="C82" s="32" t="s">
        <v>198</v>
      </c>
      <c r="D82" s="32" t="s">
        <v>189</v>
      </c>
    </row>
    <row r="83" spans="1:4">
      <c r="A83" s="32" t="s">
        <v>199</v>
      </c>
      <c r="B83" s="32" t="s">
        <v>200</v>
      </c>
      <c r="C83" s="32" t="s">
        <v>201</v>
      </c>
      <c r="D83" s="32" t="s">
        <v>189</v>
      </c>
    </row>
    <row r="84" spans="1:4">
      <c r="A84" s="32" t="s">
        <v>202</v>
      </c>
      <c r="B84" s="32" t="s">
        <v>203</v>
      </c>
      <c r="C84" s="32" t="s">
        <v>204</v>
      </c>
      <c r="D84" s="32" t="s">
        <v>189</v>
      </c>
    </row>
    <row r="85" spans="1:4">
      <c r="A85" s="32" t="s">
        <v>205</v>
      </c>
      <c r="B85" s="32" t="s">
        <v>206</v>
      </c>
      <c r="C85" s="32" t="s">
        <v>207</v>
      </c>
      <c r="D85" s="32" t="s">
        <v>189</v>
      </c>
    </row>
    <row r="86" spans="1:4">
      <c r="A86" s="32" t="s">
        <v>208</v>
      </c>
      <c r="B86" s="32" t="s">
        <v>209</v>
      </c>
      <c r="C86" s="32" t="s">
        <v>210</v>
      </c>
      <c r="D86" s="32" t="s">
        <v>189</v>
      </c>
    </row>
    <row r="87" spans="1:4">
      <c r="A87" s="32" t="s">
        <v>211</v>
      </c>
      <c r="B87" s="32" t="s">
        <v>212</v>
      </c>
      <c r="C87" s="32" t="s">
        <v>213</v>
      </c>
      <c r="D87" s="32" t="s">
        <v>214</v>
      </c>
    </row>
    <row r="88" spans="1:4">
      <c r="A88" s="29"/>
      <c r="B88" s="29"/>
      <c r="C88" s="28"/>
      <c r="D88" s="29"/>
    </row>
    <row r="89" spans="1:4">
      <c r="A89" s="29"/>
      <c r="B89" s="31" t="s">
        <v>215</v>
      </c>
      <c r="C89" s="31" t="s">
        <v>170</v>
      </c>
      <c r="D89" s="29"/>
    </row>
    <row r="90" spans="1:4">
      <c r="A90" s="29"/>
      <c r="B90" s="34" t="s">
        <v>216</v>
      </c>
      <c r="C90" s="35" t="s">
        <v>217</v>
      </c>
      <c r="D90" s="29"/>
    </row>
    <row r="91" spans="1:4">
      <c r="A91" s="29"/>
      <c r="B91" s="35" t="s">
        <v>217</v>
      </c>
      <c r="C91" s="35" t="s">
        <v>217</v>
      </c>
      <c r="D91" s="29"/>
    </row>
    <row r="92" spans="1:4" ht="31.5">
      <c r="A92" s="29"/>
      <c r="B92" s="35" t="s">
        <v>218</v>
      </c>
      <c r="C92" s="35" t="s">
        <v>219</v>
      </c>
      <c r="D92" s="29"/>
    </row>
    <row r="93" spans="1:4">
      <c r="A93" s="29"/>
      <c r="B93" s="35" t="s">
        <v>220</v>
      </c>
      <c r="C93" s="35" t="s">
        <v>221</v>
      </c>
      <c r="D93" s="29"/>
    </row>
    <row r="94" spans="1:4">
      <c r="A94" s="29"/>
      <c r="B94" s="35" t="s">
        <v>222</v>
      </c>
      <c r="C94" s="35" t="s">
        <v>223</v>
      </c>
      <c r="D94" s="29"/>
    </row>
    <row r="95" spans="1:4">
      <c r="A95" s="29"/>
      <c r="B95" s="35" t="s">
        <v>224</v>
      </c>
      <c r="C95" s="35" t="s">
        <v>225</v>
      </c>
      <c r="D95" s="29"/>
    </row>
    <row r="96" spans="1:4">
      <c r="A96" s="29"/>
      <c r="B96" s="35" t="s">
        <v>226</v>
      </c>
      <c r="C96" s="35" t="s">
        <v>227</v>
      </c>
      <c r="D96" s="29"/>
    </row>
    <row r="97" spans="1:4" ht="47.25">
      <c r="A97" s="29"/>
      <c r="B97" s="35" t="s">
        <v>228</v>
      </c>
      <c r="C97" s="35" t="s">
        <v>229</v>
      </c>
      <c r="D97" s="29"/>
    </row>
    <row r="98" spans="1:4">
      <c r="A98" s="29"/>
      <c r="B98" s="35" t="s">
        <v>230</v>
      </c>
      <c r="C98" s="35" t="s">
        <v>231</v>
      </c>
      <c r="D98" s="29"/>
    </row>
    <row r="99" spans="1:4">
      <c r="A99" s="29"/>
      <c r="B99" s="35" t="s">
        <v>42</v>
      </c>
      <c r="C99" s="35" t="s">
        <v>42</v>
      </c>
      <c r="D99" s="29"/>
    </row>
    <row r="100" spans="1:4">
      <c r="A100" s="29"/>
      <c r="B100" s="35" t="s">
        <v>232</v>
      </c>
      <c r="C100" s="35" t="s">
        <v>233</v>
      </c>
      <c r="D100" s="29"/>
    </row>
    <row r="101" spans="1:4">
      <c r="A101" s="29"/>
      <c r="B101" s="35" t="s">
        <v>234</v>
      </c>
      <c r="C101" s="35" t="s">
        <v>235</v>
      </c>
      <c r="D101" s="29"/>
    </row>
    <row r="102" spans="1:4">
      <c r="A102" s="29"/>
      <c r="B102" s="35" t="s">
        <v>236</v>
      </c>
      <c r="C102" s="35" t="s">
        <v>237</v>
      </c>
      <c r="D102" s="29"/>
    </row>
    <row r="103" spans="1:4">
      <c r="A103" s="29"/>
      <c r="B103" s="35" t="s">
        <v>238</v>
      </c>
      <c r="C103" s="35" t="s">
        <v>239</v>
      </c>
      <c r="D103" s="29"/>
    </row>
    <row r="104" spans="1:4">
      <c r="A104" s="29"/>
      <c r="B104" s="35" t="s">
        <v>240</v>
      </c>
      <c r="C104" s="35" t="s">
        <v>241</v>
      </c>
      <c r="D104" s="29"/>
    </row>
    <row r="105" spans="1:4" ht="31.5">
      <c r="A105" s="29"/>
      <c r="B105" s="35" t="s">
        <v>242</v>
      </c>
      <c r="C105" s="35" t="s">
        <v>243</v>
      </c>
      <c r="D105" s="29"/>
    </row>
    <row r="106" spans="1:4">
      <c r="A106" s="29"/>
      <c r="B106" s="35" t="s">
        <v>244</v>
      </c>
      <c r="C106" s="35" t="s">
        <v>245</v>
      </c>
      <c r="D106" s="29"/>
    </row>
    <row r="107" spans="1:4">
      <c r="A107" s="29"/>
      <c r="B107" s="35" t="s">
        <v>246</v>
      </c>
      <c r="C107" s="35" t="s">
        <v>247</v>
      </c>
      <c r="D107" s="29"/>
    </row>
    <row r="108" spans="1:4">
      <c r="A108" s="29"/>
      <c r="B108" s="35" t="s">
        <v>248</v>
      </c>
      <c r="C108" s="35" t="s">
        <v>249</v>
      </c>
      <c r="D108" s="29"/>
    </row>
    <row r="109" spans="1:4" ht="31.5">
      <c r="A109" s="29"/>
      <c r="B109" s="35" t="s">
        <v>250</v>
      </c>
      <c r="C109" s="35" t="s">
        <v>251</v>
      </c>
      <c r="D109" s="29"/>
    </row>
    <row r="110" spans="1:4" ht="47.25">
      <c r="A110" s="29"/>
      <c r="B110" s="35" t="s">
        <v>252</v>
      </c>
      <c r="C110" s="35" t="s">
        <v>253</v>
      </c>
      <c r="D110" s="29"/>
    </row>
    <row r="111" spans="1:4">
      <c r="A111" s="29"/>
      <c r="B111" s="35" t="s">
        <v>254</v>
      </c>
      <c r="C111" s="35" t="s">
        <v>255</v>
      </c>
      <c r="D111" s="29"/>
    </row>
    <row r="112" spans="1:4">
      <c r="A112" s="29"/>
      <c r="B112" s="35" t="s">
        <v>256</v>
      </c>
      <c r="C112" s="35" t="s">
        <v>257</v>
      </c>
      <c r="D112" s="29"/>
    </row>
    <row r="113" spans="1:4">
      <c r="A113" s="29"/>
      <c r="B113" s="35" t="s">
        <v>258</v>
      </c>
      <c r="C113" s="35" t="s">
        <v>259</v>
      </c>
      <c r="D113" s="29"/>
    </row>
    <row r="114" spans="1:4">
      <c r="A114" s="29"/>
      <c r="B114" s="35" t="s">
        <v>260</v>
      </c>
      <c r="C114" s="35" t="s">
        <v>261</v>
      </c>
      <c r="D114" s="29"/>
    </row>
    <row r="115" spans="1:4" ht="31.5">
      <c r="A115" s="29"/>
      <c r="B115" s="35" t="s">
        <v>262</v>
      </c>
      <c r="C115" s="35" t="s">
        <v>263</v>
      </c>
      <c r="D115" s="29"/>
    </row>
    <row r="116" spans="1:4" ht="31.5">
      <c r="A116" s="29"/>
      <c r="B116" s="35" t="s">
        <v>264</v>
      </c>
      <c r="C116" s="35" t="s">
        <v>265</v>
      </c>
      <c r="D116" s="29"/>
    </row>
    <row r="117" spans="1:4">
      <c r="A117" s="29"/>
      <c r="B117" s="36" t="s">
        <v>266</v>
      </c>
      <c r="C117" s="36" t="s">
        <v>267</v>
      </c>
      <c r="D117" s="29"/>
    </row>
    <row r="118" spans="1:4" ht="31.5">
      <c r="A118" s="29"/>
      <c r="B118" s="36" t="s">
        <v>268</v>
      </c>
      <c r="C118" s="36" t="s">
        <v>154</v>
      </c>
      <c r="D118" s="29"/>
    </row>
    <row r="119" spans="1:4">
      <c r="A119" s="29"/>
      <c r="B119" s="36" t="s">
        <v>269</v>
      </c>
      <c r="C119" s="36" t="s">
        <v>269</v>
      </c>
      <c r="D119" s="29"/>
    </row>
    <row r="120" spans="1:4">
      <c r="A120" s="29"/>
      <c r="B120" s="36" t="s">
        <v>270</v>
      </c>
      <c r="C120" s="36" t="s">
        <v>270</v>
      </c>
      <c r="D120" s="29"/>
    </row>
    <row r="121" spans="1:4">
      <c r="A121" s="29"/>
      <c r="B121" s="36" t="s">
        <v>271</v>
      </c>
      <c r="C121" s="36" t="s">
        <v>271</v>
      </c>
      <c r="D121" s="29"/>
    </row>
  </sheetData>
  <mergeCells count="5">
    <mergeCell ref="A1:B1"/>
    <mergeCell ref="A2:B2"/>
    <mergeCell ref="A3:B3"/>
    <mergeCell ref="A8:B8"/>
    <mergeCell ref="A71:B71"/>
  </mergeCells>
  <conditionalFormatting sqref="A5:J5 L5:O5 Q5:S5">
    <cfRule type="expression" dxfId="82" priority="95" stopIfTrue="1">
      <formula>$A5="begin repeat"</formula>
    </cfRule>
    <cfRule type="expression" dxfId="81" priority="96" stopIfTrue="1">
      <formula>$A5="end group"</formula>
    </cfRule>
    <cfRule type="expression" dxfId="80" priority="98" stopIfTrue="1">
      <formula>$A5="begin group"</formula>
    </cfRule>
  </conditionalFormatting>
  <conditionalFormatting sqref="A5:J5 Q5:S5">
    <cfRule type="expression" dxfId="79" priority="75" stopIfTrue="1">
      <formula>OR($A5="calculate", $A5="calculate_here")</formula>
    </cfRule>
    <cfRule type="expression" dxfId="78" priority="77" stopIfTrue="1">
      <formula>$A5="note"</formula>
    </cfRule>
    <cfRule type="expression" dxfId="77" priority="79" stopIfTrue="1">
      <formula>$A5="barcode"</formula>
    </cfRule>
    <cfRule type="expression" dxfId="76" priority="81" stopIfTrue="1">
      <formula>$A5="geopoint"</formula>
    </cfRule>
    <cfRule type="expression" dxfId="75" priority="83" stopIfTrue="1">
      <formula>OR($A5="audio audit", $A5="text audit")</formula>
    </cfRule>
    <cfRule type="expression" dxfId="74" priority="84" stopIfTrue="1">
      <formula>OR($A5="phonenumber", $A5="start", $A5="end", $A5="deviceid", $A5="subscriberid", $A5="simserial")</formula>
    </cfRule>
    <cfRule type="expression" dxfId="73" priority="86" stopIfTrue="1">
      <formula>OR(AND(LEFT($A5, 16)="select_multiple ", LEN($A5)&gt;16, NOT(ISNUMBER(SEARCH(" ", $A5, 17)))), AND(LEFT($A5, 11)="select_one ", LEN($A5)&gt;11, NOT(ISNUMBER(SEARCH(" ", $A5, 12)))))</formula>
    </cfRule>
    <cfRule type="expression" dxfId="72" priority="88" stopIfTrue="1">
      <formula>$A5="decimal"</formula>
    </cfRule>
    <cfRule type="expression" dxfId="71" priority="90" stopIfTrue="1">
      <formula>$A5="integer"</formula>
    </cfRule>
    <cfRule type="expression" dxfId="70" priority="92" stopIfTrue="1">
      <formula>$A5="text"</formula>
    </cfRule>
    <cfRule type="expression" dxfId="69" priority="93" stopIfTrue="1">
      <formula>$A5="end repeat"</formula>
    </cfRule>
  </conditionalFormatting>
  <conditionalFormatting sqref="A5:J5">
    <cfRule type="expression" dxfId="68" priority="67" stopIfTrue="1">
      <formula>$A5="comments"</formula>
    </cfRule>
    <cfRule type="expression" dxfId="67" priority="69" stopIfTrue="1">
      <formula>OR($A5="audio", $A5="video")</formula>
    </cfRule>
    <cfRule type="expression" dxfId="66" priority="71" stopIfTrue="1">
      <formula>$A5="image"</formula>
    </cfRule>
    <cfRule type="expression" dxfId="65" priority="73" stopIfTrue="1">
      <formula>OR($A5="date", $A5="datetime")</formula>
    </cfRule>
  </conditionalFormatting>
  <conditionalFormatting sqref="B5 H5">
    <cfRule type="expression" dxfId="64" priority="82" stopIfTrue="1">
      <formula>OR($A5="audio audit", $A5="text audit")</formula>
    </cfRule>
  </conditionalFormatting>
  <conditionalFormatting sqref="B5 R5">
    <cfRule type="expression" dxfId="63" priority="74" stopIfTrue="1">
      <formula>OR($A5="calculate", $A5="calculate_here")</formula>
    </cfRule>
  </conditionalFormatting>
  <conditionalFormatting sqref="B5">
    <cfRule type="expression" dxfId="62" priority="66" stopIfTrue="1">
      <formula>$A5="comments"</formula>
    </cfRule>
  </conditionalFormatting>
  <conditionalFormatting sqref="B5:C5 H5 L5">
    <cfRule type="expression" dxfId="61" priority="97" stopIfTrue="1">
      <formula>$A5="begin group"</formula>
    </cfRule>
  </conditionalFormatting>
  <conditionalFormatting sqref="B5:C5 H5">
    <cfRule type="expression" dxfId="60" priority="70" stopIfTrue="1">
      <formula>$A5="image"</formula>
    </cfRule>
    <cfRule type="expression" dxfId="59" priority="72" stopIfTrue="1">
      <formula>OR($A5="date", $A5="datetime")</formula>
    </cfRule>
    <cfRule type="expression" dxfId="58" priority="85" stopIfTrue="1">
      <formula>OR(AND(LEFT($A5, 16)="select_multiple ", LEN($A5)&gt;16, NOT(ISNUMBER(SEARCH(" ", $A5, 17)))), AND(LEFT($A5, 11)="select_one ", LEN($A5)&gt;11, NOT(ISNUMBER(SEARCH(" ", $A5, 12)))))</formula>
    </cfRule>
  </conditionalFormatting>
  <conditionalFormatting sqref="B5:C5 S5 L5">
    <cfRule type="expression" dxfId="57" priority="94" stopIfTrue="1">
      <formula>$A5="begin repeat"</formula>
    </cfRule>
  </conditionalFormatting>
  <conditionalFormatting sqref="B5:C5">
    <cfRule type="expression" dxfId="56" priority="68" stopIfTrue="1">
      <formula>OR($A5="audio", $A5="video")</formula>
    </cfRule>
    <cfRule type="expression" dxfId="55" priority="76" stopIfTrue="1">
      <formula>$A5="note"</formula>
    </cfRule>
    <cfRule type="expression" dxfId="54" priority="78" stopIfTrue="1">
      <formula>$A5="barcode"</formula>
    </cfRule>
    <cfRule type="expression" dxfId="53" priority="80" stopIfTrue="1">
      <formula>$A5="geopoint"</formula>
    </cfRule>
  </conditionalFormatting>
  <conditionalFormatting sqref="B5:F5 H5">
    <cfRule type="expression" dxfId="52" priority="91" stopIfTrue="1">
      <formula>$A5="text"</formula>
    </cfRule>
  </conditionalFormatting>
  <conditionalFormatting sqref="B5:F5 I5:J5">
    <cfRule type="expression" dxfId="51" priority="87" stopIfTrue="1">
      <formula>$A5="decimal"</formula>
    </cfRule>
    <cfRule type="expression" dxfId="50" priority="89" stopIfTrue="1">
      <formula>$A5="integer"</formula>
    </cfRule>
  </conditionalFormatting>
  <conditionalFormatting sqref="D5">
    <cfRule type="expression" dxfId="49" priority="39" stopIfTrue="1">
      <formula>OR($A5="audio", $A5="video")</formula>
    </cfRule>
    <cfRule type="expression" dxfId="48" priority="40" stopIfTrue="1">
      <formula>$A5="image"</formula>
    </cfRule>
    <cfRule type="expression" dxfId="47" priority="41" stopIfTrue="1">
      <formula>OR($A5="date", $A5="datetime")</formula>
    </cfRule>
    <cfRule type="expression" dxfId="46" priority="42" stopIfTrue="1">
      <formula>$A5="note"</formula>
    </cfRule>
    <cfRule type="expression" dxfId="45" priority="43" stopIfTrue="1">
      <formula>$A5="barcode"</formula>
    </cfRule>
    <cfRule type="expression" dxfId="44" priority="44" stopIfTrue="1">
      <formula>$A5="geopoint"</formula>
    </cfRule>
    <cfRule type="expression" dxfId="43" priority="45" stopIfTrue="1">
      <formula>OR(AND(LEFT($A5, 16)="select_multiple ", LEN($A5)&gt;16, NOT(ISNUMBER(SEARCH(" ", $A5, 17)))), AND(LEFT($A5, 11)="select_one ", LEN($A5)&gt;11, NOT(ISNUMBER(SEARCH(" ", $A5, 12)))))</formula>
    </cfRule>
    <cfRule type="expression" dxfId="42" priority="46" stopIfTrue="1">
      <formula>$A5="begin repeat"</formula>
    </cfRule>
    <cfRule type="expression" dxfId="41" priority="47" stopIfTrue="1">
      <formula>$A5="begin group"</formula>
    </cfRule>
  </conditionalFormatting>
  <conditionalFormatting sqref="K5">
    <cfRule type="expression" dxfId="40" priority="30" stopIfTrue="1">
      <formula>$A5="decimal"</formula>
    </cfRule>
    <cfRule type="expression" dxfId="39" priority="32" stopIfTrue="1">
      <formula>$A5="integer"</formula>
    </cfRule>
    <cfRule type="expression" dxfId="38" priority="36" stopIfTrue="1">
      <formula>$A5="begin repeat"</formula>
    </cfRule>
    <cfRule type="expression" dxfId="37" priority="37" stopIfTrue="1">
      <formula>$A5="end group"</formula>
    </cfRule>
    <cfRule type="expression" dxfId="36" priority="38" stopIfTrue="1">
      <formula>$A5="begin group"</formula>
    </cfRule>
  </conditionalFormatting>
  <conditionalFormatting sqref="K5:O5">
    <cfRule type="expression" dxfId="35" priority="31" stopIfTrue="1">
      <formula>$A5="decimal"</formula>
    </cfRule>
    <cfRule type="expression" dxfId="34" priority="33" stopIfTrue="1">
      <formula>$A5="integer"</formula>
    </cfRule>
    <cfRule type="expression" dxfId="33" priority="34" stopIfTrue="1">
      <formula>$A5="text"</formula>
    </cfRule>
    <cfRule type="expression" dxfId="32" priority="35" stopIfTrue="1">
      <formula>$A5="end repeat"</formula>
    </cfRule>
  </conditionalFormatting>
  <conditionalFormatting sqref="K5:P5">
    <cfRule type="expression" dxfId="31" priority="5" stopIfTrue="1">
      <formula>OR($A5="calculate", $A5="calculate_here")</formula>
    </cfRule>
    <cfRule type="expression" dxfId="30" priority="6" stopIfTrue="1">
      <formula>$A5="note"</formula>
    </cfRule>
    <cfRule type="expression" dxfId="29" priority="7" stopIfTrue="1">
      <formula>$A5="barcode"</formula>
    </cfRule>
    <cfRule type="expression" dxfId="28" priority="8" stopIfTrue="1">
      <formula>$A5="geopoint"</formula>
    </cfRule>
    <cfRule type="expression" dxfId="27" priority="9" stopIfTrue="1">
      <formula>OR($A5="audio audit", $A5="text audit")</formula>
    </cfRule>
    <cfRule type="expression" dxfId="26" priority="10" stopIfTrue="1">
      <formula>OR($A5="phonenumber", $A5="start", $A5="end", $A5="deviceid", $A5="subscriberid", $A5="simserial")</formula>
    </cfRule>
    <cfRule type="expression" dxfId="25" priority="11" stopIfTrue="1">
      <formula>OR(AND(LEFT($A5, 16)="select_multiple ", LEN($A5)&gt;16, NOT(ISNUMBER(SEARCH(" ", $A5, 17)))), AND(LEFT($A5, 11)="select_one ", LEN($A5)&gt;11, NOT(ISNUMBER(SEARCH(" ", $A5, 12)))))</formula>
    </cfRule>
  </conditionalFormatting>
  <conditionalFormatting sqref="K5:AB5">
    <cfRule type="expression" dxfId="24" priority="1" stopIfTrue="1">
      <formula>$A5="comments"</formula>
    </cfRule>
    <cfRule type="expression" dxfId="23" priority="2" stopIfTrue="1">
      <formula>OR($A5="audio", $A5="video")</formula>
    </cfRule>
    <cfRule type="expression" dxfId="22" priority="3" stopIfTrue="1">
      <formula>$A5="image"</formula>
    </cfRule>
    <cfRule type="expression" dxfId="21" priority="4" stopIfTrue="1">
      <formula>OR($A5="date", $A5="datetime")</formula>
    </cfRule>
  </conditionalFormatting>
  <conditionalFormatting sqref="P5">
    <cfRule type="expression" dxfId="20" priority="12" stopIfTrue="1">
      <formula>$A5="decimal"</formula>
    </cfRule>
    <cfRule type="expression" dxfId="19" priority="13" stopIfTrue="1">
      <formula>$A5="integer"</formula>
    </cfRule>
    <cfRule type="expression" dxfId="18" priority="14" stopIfTrue="1">
      <formula>$A5="text"</formula>
    </cfRule>
    <cfRule type="expression" dxfId="17" priority="15" stopIfTrue="1">
      <formula>$A5="end repeat"</formula>
    </cfRule>
    <cfRule type="expression" dxfId="16" priority="16" stopIfTrue="1">
      <formula>$A5="begin repeat"</formula>
    </cfRule>
    <cfRule type="expression" dxfId="15" priority="17" stopIfTrue="1">
      <formula>$A5="end group"</formula>
    </cfRule>
    <cfRule type="expression" dxfId="14" priority="18" stopIfTrue="1">
      <formula>$A5="begin group"</formula>
    </cfRule>
  </conditionalFormatting>
  <conditionalFormatting sqref="T5:AB5">
    <cfRule type="expression" dxfId="13" priority="52" stopIfTrue="1">
      <formula>OR($A5="calculate", $A5="calculate_here")</formula>
    </cfRule>
    <cfRule type="expression" dxfId="12" priority="53" stopIfTrue="1">
      <formula>$A5="note"</formula>
    </cfRule>
    <cfRule type="expression" dxfId="11" priority="54" stopIfTrue="1">
      <formula>$A5="barcode"</formula>
    </cfRule>
    <cfRule type="expression" dxfId="10" priority="55" stopIfTrue="1">
      <formula>$A5="geopoint"</formula>
    </cfRule>
    <cfRule type="expression" dxfId="9" priority="56" stopIfTrue="1">
      <formula>OR($A5="audio audit", $A5="text audit")</formula>
    </cfRule>
    <cfRule type="expression" dxfId="8" priority="57" stopIfTrue="1">
      <formula>OR($A5="phonenumber", $A5="start", $A5="end", $A5="deviceid", $A5="subscriberid", $A5="simserial")</formula>
    </cfRule>
    <cfRule type="expression" dxfId="7" priority="58" stopIfTrue="1">
      <formula>OR(AND(LEFT($A5, 16)="select_multiple ", LEN($A5)&gt;16, NOT(ISNUMBER(SEARCH(" ", $A5, 17)))), AND(LEFT($A5, 11)="select_one ", LEN($A5)&gt;11, NOT(ISNUMBER(SEARCH(" ", $A5, 12)))))</formula>
    </cfRule>
    <cfRule type="expression" dxfId="6" priority="59" stopIfTrue="1">
      <formula>$A5="decimal"</formula>
    </cfRule>
    <cfRule type="expression" dxfId="5" priority="60" stopIfTrue="1">
      <formula>$A5="integer"</formula>
    </cfRule>
    <cfRule type="expression" dxfId="4" priority="61" stopIfTrue="1">
      <formula>$A5="text"</formula>
    </cfRule>
    <cfRule type="expression" dxfId="3" priority="62" stopIfTrue="1">
      <formula>$A5="end repeat"</formula>
    </cfRule>
    <cfRule type="expression" dxfId="2" priority="63" stopIfTrue="1">
      <formula>$A5="begin repeat"</formula>
    </cfRule>
    <cfRule type="expression" dxfId="1" priority="64" stopIfTrue="1">
      <formula>$A5="end group"</formula>
    </cfRule>
    <cfRule type="expression" dxfId="0" priority="65" stopIfTrue="1">
      <formula>$A5="begin group"</formula>
    </cfRule>
  </conditionalFormatting>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6"/>
  <sheetViews>
    <sheetView workbookViewId="0">
      <selection activeCell="A4" sqref="A4"/>
    </sheetView>
  </sheetViews>
  <sheetFormatPr baseColWidth="10" defaultRowHeight="15.75"/>
  <cols>
    <col min="1" max="7" width="36" customWidth="1"/>
  </cols>
  <sheetData>
    <row r="1" spans="1:8" ht="15" customHeight="1">
      <c r="A1" s="61" t="s">
        <v>272</v>
      </c>
      <c r="B1" s="62"/>
    </row>
    <row r="2" spans="1:8">
      <c r="A2" s="63"/>
      <c r="B2" s="64"/>
    </row>
    <row r="3" spans="1:8" ht="99" customHeight="1">
      <c r="A3" s="65" t="s">
        <v>273</v>
      </c>
      <c r="B3" s="66"/>
    </row>
    <row r="5" spans="1:8" s="3" customFormat="1" ht="18" customHeight="1">
      <c r="A5" s="11" t="s">
        <v>23</v>
      </c>
      <c r="B5" s="11" t="s">
        <v>2</v>
      </c>
      <c r="C5" s="37" t="s">
        <v>22</v>
      </c>
      <c r="D5" s="37" t="s">
        <v>50</v>
      </c>
      <c r="E5" s="11" t="s">
        <v>24</v>
      </c>
      <c r="F5" s="11" t="s">
        <v>274</v>
      </c>
      <c r="G5" s="11" t="s">
        <v>275</v>
      </c>
    </row>
    <row r="6" spans="1:8" s="20" customFormat="1" ht="204.75">
      <c r="A6" s="19" t="s">
        <v>276</v>
      </c>
      <c r="B6" s="19" t="s">
        <v>277</v>
      </c>
      <c r="C6" s="19" t="s">
        <v>278</v>
      </c>
      <c r="D6" s="19" t="s">
        <v>61</v>
      </c>
      <c r="E6" s="19" t="s">
        <v>279</v>
      </c>
      <c r="F6" s="19" t="s">
        <v>280</v>
      </c>
      <c r="G6" s="19" t="s">
        <v>281</v>
      </c>
      <c r="H6" s="19"/>
    </row>
  </sheetData>
  <mergeCells count="3">
    <mergeCell ref="A1:B1"/>
    <mergeCell ref="A2:B2"/>
    <mergeCell ref="A3:B3"/>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8"/>
  <sheetViews>
    <sheetView workbookViewId="0">
      <selection activeCell="A4" sqref="A4"/>
    </sheetView>
  </sheetViews>
  <sheetFormatPr baseColWidth="10" defaultRowHeight="15.75"/>
  <cols>
    <col min="1" max="6" width="36" customWidth="1"/>
  </cols>
  <sheetData>
    <row r="1" spans="1:8">
      <c r="A1" s="70" t="s">
        <v>282</v>
      </c>
      <c r="B1" s="71"/>
      <c r="C1" s="38"/>
      <c r="D1" s="38"/>
      <c r="E1" s="38"/>
      <c r="F1" s="38"/>
    </row>
    <row r="2" spans="1:8">
      <c r="A2" s="63"/>
      <c r="B2" s="64"/>
      <c r="C2" s="38"/>
      <c r="D2" s="38"/>
      <c r="E2" s="38"/>
      <c r="F2" s="38"/>
    </row>
    <row r="3" spans="1:8" ht="54.95" customHeight="1">
      <c r="A3" s="65" t="s">
        <v>283</v>
      </c>
      <c r="B3" s="66"/>
      <c r="C3" s="38"/>
      <c r="D3" s="38"/>
      <c r="E3" s="38"/>
      <c r="F3" s="38"/>
    </row>
    <row r="4" spans="1:8">
      <c r="A4" s="38"/>
      <c r="B4" s="38"/>
      <c r="C4" s="38"/>
      <c r="D4" s="38"/>
      <c r="E4" s="38"/>
      <c r="F4" s="38"/>
    </row>
    <row r="5" spans="1:8" s="5" customFormat="1" ht="18" customHeight="1">
      <c r="A5" s="39" t="s">
        <v>17</v>
      </c>
      <c r="B5" s="39" t="s">
        <v>18</v>
      </c>
      <c r="C5" s="39" t="s">
        <v>21</v>
      </c>
      <c r="D5" s="39" t="s">
        <v>19</v>
      </c>
      <c r="E5" s="39" t="s">
        <v>20</v>
      </c>
      <c r="F5" s="40" t="s">
        <v>25</v>
      </c>
      <c r="H5" s="7"/>
    </row>
    <row r="6" spans="1:8" s="20" customFormat="1" ht="315">
      <c r="A6" s="19" t="s">
        <v>284</v>
      </c>
      <c r="B6" s="19" t="s">
        <v>285</v>
      </c>
      <c r="C6" s="19" t="s">
        <v>286</v>
      </c>
      <c r="D6" s="19" t="s">
        <v>287</v>
      </c>
      <c r="E6" s="19" t="s">
        <v>288</v>
      </c>
      <c r="F6" s="19" t="s">
        <v>289</v>
      </c>
    </row>
    <row r="7" spans="1:8">
      <c r="A7" s="41"/>
      <c r="B7" s="41"/>
      <c r="C7" s="41"/>
      <c r="D7" s="41"/>
      <c r="E7" s="41"/>
      <c r="F7" s="41"/>
    </row>
    <row r="8" spans="1:8">
      <c r="A8" s="41"/>
      <c r="B8" s="41"/>
      <c r="C8" s="41"/>
      <c r="D8" s="41"/>
      <c r="E8" s="41"/>
      <c r="F8" s="41"/>
    </row>
  </sheetData>
  <mergeCells count="3">
    <mergeCell ref="A1:B1"/>
    <mergeCell ref="A2:B2"/>
    <mergeCell ref="A3:B3"/>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otalTime>2291</TotalTime>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survey</vt:lpstr>
      <vt:lpstr>choices</vt:lpstr>
      <vt:lpstr>settings</vt:lpstr>
      <vt:lpstr>help-survey</vt:lpstr>
      <vt:lpstr>help-choices</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Marder</dc:creator>
  <cp:lastModifiedBy>julianlopces@gmail.com</cp:lastModifiedBy>
  <cp:revision>69</cp:revision>
  <cp:lastPrinted>1601-01-01T00:00:00Z</cp:lastPrinted>
  <dcterms:created xsi:type="dcterms:W3CDTF">2011-04-25T12:27:36Z</dcterms:created>
  <dcterms:modified xsi:type="dcterms:W3CDTF">2026-03-03T16:53:58Z</dcterms:modified>
</cp:coreProperties>
</file>