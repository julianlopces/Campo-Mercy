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autoCompressPictures="0"/>
  <mc:AlternateContent xmlns:mc="http://schemas.openxmlformats.org/markup-compatibility/2006">
    <mc:Choice Requires="x15">
      <x15ac:absPath xmlns:x15ac="http://schemas.microsoft.com/office/spreadsheetml/2010/11/ac" url="G:\Unidades compartidas\EQUILIBRIUM   Intranet 🌍📂\🥁 PROYECTOS\🏆 Proyectos S. Desarrollo\176. Mercy Corps\02. Implementación\Campo Mercy\raw_data\"/>
    </mc:Choice>
  </mc:AlternateContent>
  <xr:revisionPtr revIDLastSave="0" documentId="13_ncr:1_{C302D7F0-D89B-410F-A46B-E17AC431DC4A}" xr6:coauthVersionLast="47" xr6:coauthVersionMax="47" xr10:uidLastSave="{00000000-0000-0000-0000-000000000000}"/>
  <bookViews>
    <workbookView xWindow="-120" yWindow="-120" windowWidth="38640" windowHeight="21120" tabRatio="534"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definedNames>
    <definedName name="_xlnm._FilterDatabase" localSheetId="1" hidden="1">choices!$A$1:$D$161</definedName>
    <definedName name="_xlnm._FilterDatabase" localSheetId="0" hidden="1">survey!$A$1:$T$226</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N166" i="1" l="1"/>
  <c r="B166" i="1"/>
  <c r="N214" i="1"/>
  <c r="B214" i="1"/>
  <c r="N211" i="1"/>
  <c r="B211" i="1"/>
  <c r="N208" i="1"/>
  <c r="B208" i="1"/>
  <c r="N205" i="1"/>
  <c r="B205" i="1"/>
  <c r="N202" i="1"/>
  <c r="B202" i="1"/>
  <c r="N199" i="1"/>
  <c r="B199" i="1"/>
  <c r="N196" i="1"/>
  <c r="B196" i="1"/>
  <c r="N193" i="1"/>
  <c r="B193" i="1"/>
  <c r="N190" i="1"/>
  <c r="B190" i="1"/>
  <c r="N187" i="1"/>
  <c r="B187" i="1"/>
  <c r="N184" i="1"/>
  <c r="B184" i="1"/>
  <c r="N180" i="1"/>
  <c r="B180" i="1"/>
  <c r="N177" i="1"/>
  <c r="B177" i="1"/>
  <c r="N174" i="1"/>
  <c r="B174" i="1"/>
  <c r="N171" i="1"/>
  <c r="B171" i="1"/>
  <c r="N168" i="1"/>
  <c r="B168" i="1"/>
  <c r="C75" i="4"/>
  <c r="C2" i="3"/>
</calcChain>
</file>

<file path=xl/sharedStrings.xml><?xml version="1.0" encoding="utf-8"?>
<sst xmlns="http://schemas.openxmlformats.org/spreadsheetml/2006/main" count="1675" uniqueCount="972">
  <si>
    <t>deviceid</t>
    <phoneticPr fontId="1" type="noConversion"/>
  </si>
  <si>
    <t>type</t>
  </si>
  <si>
    <t>name</t>
  </si>
  <si>
    <t>default</t>
    <phoneticPr fontId="1" type="noConversion"/>
  </si>
  <si>
    <t>media:image</t>
    <phoneticPr fontId="1" type="noConversion"/>
  </si>
  <si>
    <t>hint</t>
    <phoneticPr fontId="1" type="noConversion"/>
  </si>
  <si>
    <t>appearance</t>
    <phoneticPr fontId="1" type="noConversion"/>
  </si>
  <si>
    <t>constraint</t>
    <phoneticPr fontId="1" type="noConversion"/>
  </si>
  <si>
    <t>relevance</t>
    <phoneticPr fontId="1" type="noConversion"/>
  </si>
  <si>
    <t>required</t>
    <phoneticPr fontId="1" type="noConversion"/>
  </si>
  <si>
    <t>read only</t>
    <phoneticPr fontId="1" type="noConversion"/>
  </si>
  <si>
    <t>media:audio</t>
    <phoneticPr fontId="1" type="noConversion"/>
  </si>
  <si>
    <t>media:video</t>
    <phoneticPr fontId="1" type="noConversion"/>
  </si>
  <si>
    <t>calculation</t>
    <phoneticPr fontId="1" type="noConversion"/>
  </si>
  <si>
    <t>disabled</t>
    <phoneticPr fontId="1" type="noConversion"/>
  </si>
  <si>
    <t>starttime</t>
  </si>
  <si>
    <t>endtime</t>
  </si>
  <si>
    <t>form_title</t>
  </si>
  <si>
    <t>form_id</t>
  </si>
  <si>
    <t>public_key</t>
  </si>
  <si>
    <t>submission_url</t>
  </si>
  <si>
    <t>version</t>
  </si>
  <si>
    <t>label</t>
  </si>
  <si>
    <t>list_name</t>
  </si>
  <si>
    <t>image</t>
  </si>
  <si>
    <t>default_language</t>
  </si>
  <si>
    <t>No</t>
  </si>
  <si>
    <t>start</t>
  </si>
  <si>
    <t>end</t>
  </si>
  <si>
    <t>deviceid</t>
  </si>
  <si>
    <t>subscriberid</t>
  </si>
  <si>
    <t>phonenumber</t>
  </si>
  <si>
    <t>simserial</t>
  </si>
  <si>
    <t>repeat_count</t>
  </si>
  <si>
    <t>required message</t>
  </si>
  <si>
    <t>constraint message</t>
  </si>
  <si>
    <t>note</t>
  </si>
  <si>
    <t>consent</t>
  </si>
  <si>
    <t>yes</t>
  </si>
  <si>
    <t>begin group</t>
  </si>
  <si>
    <t>begin repeat</t>
  </si>
  <si>
    <t>calculate</t>
  </si>
  <si>
    <t>position(..)</t>
  </si>
  <si>
    <t>text</t>
  </si>
  <si>
    <t>end repeat</t>
  </si>
  <si>
    <t>integer</t>
  </si>
  <si>
    <t>end group</t>
  </si>
  <si>
    <t>response_note</t>
  </si>
  <si>
    <t>The survey worksheet</t>
  </si>
  <si>
    <r>
      <t>This worksheet specifies all of the groups, questions, and other fields in your survey form, each in its own row. Aside from overall settings and lists of multiple-choice options, everything about your survey form is specified in this worksheet.</t>
    </r>
    <r>
      <rPr>
        <sz val="12"/>
        <color indexed="8"/>
        <rFont val="Calibri"/>
        <family val="2"/>
      </rPr>
      <t xml:space="preserve">
For more help, see the following help topic: </t>
    </r>
    <r>
      <rPr>
        <i/>
        <sz val="12"/>
        <color indexed="8"/>
        <rFont val="Calibri"/>
        <family val="2"/>
      </rPr>
      <t>How do I design my form?</t>
    </r>
  </si>
  <si>
    <t>label:languagename</t>
  </si>
  <si>
    <t>hint:languagename</t>
  </si>
  <si>
    <t>constraint message:languagename</t>
  </si>
  <si>
    <t>required message:languagename</t>
  </si>
  <si>
    <t>media:image:languagename</t>
  </si>
  <si>
    <t>media:audio:languagename</t>
  </si>
  <si>
    <t>media:video:languagename</t>
  </si>
  <si>
    <t>choice_filter</t>
  </si>
  <si>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</si>
  <si>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This column specifies the name of the field or group. Field names must be unique, and they cannot include any spaces or punctuation. Example: </t>
    </r>
    <r>
      <rPr>
        <b/>
        <sz val="12"/>
        <color indexed="8"/>
        <rFont val="Calibri"/>
        <family val="2"/>
      </rPr>
      <t>age</t>
    </r>
  </si>
  <si>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</si>
  <si>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</si>
  <si>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</si>
  <si>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t>
    </r>
  </si>
  <si>
    <r>
      <t xml:space="preserve">If you want to default the user's entry or selection for a given field, you can specify a number or some text in this column. 
Alternatively, you can specify an expression for dynamically calculating the field's default entry or selection, in the </t>
    </r>
    <r>
      <rPr>
        <i/>
        <sz val="12"/>
        <color indexed="8"/>
        <rFont val="Calibri"/>
        <family val="2"/>
      </rPr>
      <t xml:space="preserve">calculation </t>
    </r>
    <r>
      <rPr>
        <sz val="12"/>
        <color indexed="8"/>
        <rFont val="Calibri"/>
        <family val="2"/>
      </rPr>
      <t xml:space="preserve">column. See the following help topic for more details: </t>
    </r>
    <r>
      <rPr>
        <i/>
        <sz val="12"/>
        <color indexed="8"/>
        <rFont val="Calibri"/>
        <family val="2"/>
      </rPr>
      <t>How can I provide default entries or selections for users filling out my form?</t>
    </r>
    <r>
      <rPr>
        <sz val="12"/>
        <color indexed="8"/>
        <rFont val="Calibri"/>
        <family val="2"/>
      </rPr>
      <t xml:space="preserve"> </t>
    </r>
  </si>
  <si>
    <r>
      <t>For field types that allow multiple appearances</t>
    </r>
    <r>
      <rPr>
        <sz val="12"/>
        <color indexed="8"/>
        <rFont val="Calibri"/>
        <family val="2"/>
      </rPr>
      <t xml:space="preserve">,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</si>
  <si>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t>
    </r>
    <r>
      <rPr>
        <sz val="12"/>
        <color indexed="8"/>
        <rFont val="Calibri"/>
        <family val="2"/>
      </rPr>
      <t xml:space="preserve">(Also see the expression quick-reference following the examples below.) Example: </t>
    </r>
    <r>
      <rPr>
        <b/>
        <sz val="12"/>
        <color indexed="8"/>
        <rFont val="Calibri"/>
        <family val="2"/>
      </rPr>
      <t>. &lt; 130</t>
    </r>
  </si>
  <si>
    <t>If the user tries to move forward but the constraint expression is false, a generic "That entry is invalid" message will appear; to override this message on a field-by-field basis, enter another message into this column.</t>
  </si>
  <si>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</si>
  <si>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${age} &lt; 18</t>
    </r>
  </si>
  <si>
    <r>
      <t xml:space="preserve">Enter </t>
    </r>
    <r>
      <rPr>
        <b/>
        <sz val="12"/>
        <color indexed="8"/>
        <rFont val="Calibri"/>
        <family val="2"/>
      </rPr>
      <t>yes</t>
    </r>
    <r>
      <rPr>
        <sz val="12"/>
        <color indexed="8"/>
        <rFont val="Calibri"/>
        <family val="2"/>
      </rPr>
      <t xml:space="preserve"> into this column to temporarily disable a field. (Rarely used.)</t>
    </r>
  </si>
  <si>
    <r>
      <t xml:space="preserve">Enter </t>
    </r>
    <r>
      <rPr>
        <b/>
        <sz val="12"/>
        <color indexed="8"/>
        <rFont val="Calibri"/>
        <family val="2"/>
      </rPr>
      <t>yes</t>
    </r>
    <r>
      <rPr>
        <sz val="12"/>
        <color indexed="8"/>
        <rFont val="Calibri"/>
        <family val="2"/>
      </rPr>
      <t xml:space="preserve"> into this column to require that users enter or select a value before continuing.</t>
    </r>
  </si>
  <si>
    <t>If the user tries to move forward without entering or selecting a value for a required field, a generic "Sorry, this response is required" message will appear; to override this message on a field-by-field basis, enter another message into this column.</t>
  </si>
  <si>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</si>
  <si>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</si>
  <si>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</si>
  <si>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</si>
  <si>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</si>
  <si>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explanation.3gpp</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</si>
  <si>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demonstration.mp4</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</si>
  <si>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</si>
  <si>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</si>
  <si>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t>
    </r>
  </si>
  <si>
    <r>
      <t xml:space="preserve">When filtering lists of multiple-choice options, this column specifies, for each field, which prior field should be used when filtering the list of options. For more details, see the following help topic: </t>
    </r>
    <r>
      <rPr>
        <i/>
        <sz val="12"/>
        <color indexed="8"/>
        <rFont val="Calibri"/>
        <family val="2"/>
      </rPr>
      <t>How can I filter the list of multiple-choice options presented to users?</t>
    </r>
    <r>
      <rPr>
        <sz val="12"/>
        <color indexed="8"/>
        <rFont val="Calibri"/>
        <family val="2"/>
      </rPr>
      <t xml:space="preserve"> </t>
    </r>
    <r>
      <rPr>
        <sz val="12"/>
        <color indexed="8"/>
        <rFont val="Calibri"/>
        <family val="2"/>
      </rPr>
      <t xml:space="preserve">Example: </t>
    </r>
    <r>
      <rPr>
        <b/>
        <sz val="12"/>
        <color indexed="8"/>
        <rFont val="Calibri"/>
        <family val="2"/>
      </rPr>
      <t>filter=${survey_region}</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</si>
  <si>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</si>
  <si>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</si>
  <si>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r>
      <t>Examples</t>
    </r>
    <r>
      <rPr>
        <sz val="12"/>
        <color indexed="8"/>
        <rFont val="Calibri"/>
        <family val="2"/>
      </rPr>
      <t xml:space="preserve"> (scroll right for appearance styles)</t>
    </r>
  </si>
  <si>
    <t>fieldname</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</si>
  <si>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</si>
  <si>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</si>
  <si>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</si>
  <si>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</si>
  <si>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</si>
  <si>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</si>
  <si>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</si>
  <si>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</si>
  <si>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</si>
  <si>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</si>
  <si>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</si>
  <si>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</si>
  <si>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</si>
  <si>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</si>
  <si>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</si>
  <si>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</si>
  <si>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</si>
  <si>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</si>
  <si>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</si>
  <si>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</si>
  <si>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</si>
  <si>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</si>
  <si>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</si>
  <si>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</si>
  <si>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</si>
  <si>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</si>
  <si>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</si>
  <si>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</si>
  <si>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</si>
  <si>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</si>
  <si>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</si>
  <si>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</si>
  <si>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</si>
  <si>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</si>
  <si>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</si>
  <si>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</si>
  <si>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</si>
  <si>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</si>
  <si>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</si>
  <si>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</si>
  <si>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</si>
  <si>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</si>
  <si>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barcode</t>
  </si>
  <si>
    <t>Standard scan-barcode field:</t>
  </si>
  <si>
    <t>date</t>
  </si>
  <si>
    <t>Standard date field:</t>
  </si>
  <si>
    <t>Date field (but for smaller screens):</t>
  </si>
  <si>
    <t>no-calendar</t>
  </si>
  <si>
    <t>datetime</t>
  </si>
  <si>
    <t>Standard date+time field:</t>
  </si>
  <si>
    <t>Date+time field (but for smaller screens):</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</si>
  <si>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</si>
  <si>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</si>
  <si>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</si>
  <si>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</si>
  <si>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</si>
  <si>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</si>
  <si>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</si>
  <si>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</si>
  <si>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</si>
  <si>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</si>
  <si>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</si>
  <si>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Standard note field (read-only).</t>
  </si>
  <si>
    <t>comments</t>
  </si>
  <si>
    <t>(${age1}+${age2}+${age3}) div 3</t>
  </si>
  <si>
    <t>calculate_here</t>
  </si>
  <si>
    <t>once(format-date-time(now(), '%Y-%b-%e %H:%M:%S'))</t>
  </si>
  <si>
    <t>text audit</t>
  </si>
  <si>
    <t>p=50</t>
  </si>
  <si>
    <t>audio audit</t>
  </si>
  <si>
    <t>p=50;s=0;d=60</t>
  </si>
  <si>
    <t>p=50;s=0-600;d=60</t>
  </si>
  <si>
    <t>p=50;s=firstfield;d=lastfield</t>
  </si>
  <si>
    <t>groupname</t>
  </si>
  <si>
    <t>Standard group</t>
  </si>
  <si>
    <t>…</t>
  </si>
  <si>
    <t>repeatname</t>
  </si>
  <si>
    <t>Standard repeated group</t>
  </si>
  <si>
    <t>Group repeated exactly three times</t>
  </si>
  <si>
    <t>Quick reference for relevance, constraint, and calculation expressions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</si>
  <si>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</si>
  <si>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</si>
  <si>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</si>
  <si>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</si>
  <si>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</si>
  <si>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</si>
  <si>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</si>
  <si>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</si>
  <si>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</si>
  <si>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</si>
  <si>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</si>
  <si>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</si>
  <si>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</si>
  <si>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</si>
  <si>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</si>
  <si>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</si>
  <si>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</si>
  <si>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</si>
  <si>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</si>
  <si>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</si>
  <si>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</si>
  <si>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</si>
  <si>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</si>
  <si>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</si>
  <si>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</si>
  <si>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</si>
  <si>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</si>
  <si>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</si>
  <si>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</si>
  <si>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</si>
  <si>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</si>
  <si>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</si>
  <si>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</si>
  <si>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</si>
  <si>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</si>
  <si>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</si>
  <si>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</si>
  <si>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</si>
  <si>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</si>
  <si>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</si>
  <si>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</si>
  <si>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</si>
  <si>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</si>
  <si>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</si>
  <si>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</si>
  <si>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</si>
  <si>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</si>
  <si>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</si>
  <si>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</si>
  <si>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</si>
  <si>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</si>
  <si>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</si>
  <si>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</si>
  <si>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</si>
  <si>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</si>
  <si>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</si>
  <si>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</si>
  <si>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</si>
  <si>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</si>
  <si>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</si>
  <si>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jr:choice-name(value, 'field')</t>
  </si>
  <si>
    <t>jr:choice-name(selected-at(${selectmultfield}, 0), '${selectmultfield}')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</si>
  <si>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</si>
  <si>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</si>
  <si>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</si>
  <si>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</si>
  <si>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</si>
  <si>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</si>
  <si>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</si>
  <si>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</si>
  <si>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</si>
  <si>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</si>
  <si>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</si>
  <si>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</si>
  <si>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</si>
  <si>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</si>
  <si>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</si>
  <si>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</si>
  <si>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</si>
  <si>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</si>
  <si>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</si>
  <si>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</si>
  <si>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</si>
  <si>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</si>
  <si>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</si>
  <si>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</si>
  <si>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number(field)</t>
  </si>
  <si>
    <t>number('34.8') = 34.8</t>
  </si>
  <si>
    <t>int(field)</t>
  </si>
  <si>
    <t>int('39') = 39</t>
  </si>
  <si>
    <t>string(field)</t>
  </si>
  <si>
    <t>string(34.8) = '34.8'</t>
  </si>
  <si>
    <t>date(string)</t>
  </si>
  <si>
    <t>${fieldname} &gt; date('2013-01-31')</t>
  </si>
  <si>
    <t>date-time(string)</t>
  </si>
  <si>
    <t>${fieldname} &gt; date('2013-01-31 16:42:00')</t>
  </si>
  <si>
    <t>format-date-time(field, format)</t>
  </si>
  <si>
    <t>format-date-time(${fieldname}, '%Y-%b-%e %H:%M:%S')</t>
  </si>
  <si>
    <t>today()</t>
  </si>
  <si>
    <t>format-date-time(today(), '%Y-%b-%e')</t>
  </si>
  <si>
    <t>now()</t>
  </si>
  <si>
    <t>uuid()</t>
  </si>
  <si>
    <t>version()</t>
  </si>
  <si>
    <t>username()</t>
  </si>
  <si>
    <t>The choices worksheet</t>
  </si>
  <si>
    <r>
      <t xml:space="preserve">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t>
    </r>
    <r>
      <rPr>
        <i/>
        <sz val="12"/>
        <color indexed="8"/>
        <rFont val="Calibri"/>
        <family val="2"/>
      </rPr>
      <t>How do I dynamically load multiple-choice options from pre-loaded data?</t>
    </r>
    <r>
      <rPr>
        <sz val="12"/>
        <color indexed="8"/>
        <rFont val="Calibri"/>
        <family val="2"/>
      </rPr>
      <t>).</t>
    </r>
  </si>
  <si>
    <t>image:languagename</t>
  </si>
  <si>
    <t>filter</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</si>
  <si>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</si>
  <si>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</si>
  <si>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</si>
  <si>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</si>
  <si>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</si>
  <si>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</si>
  <si>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</si>
  <si>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</si>
  <si>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r>
      <t xml:space="preserve">This is the title of your form. If you begin this title with </t>
    </r>
    <r>
      <rPr>
        <b/>
        <sz val="12"/>
        <color indexed="8"/>
        <rFont val="Calibri"/>
        <family val="2"/>
      </rPr>
      <t xml:space="preserve">TEST - </t>
    </r>
    <r>
      <rPr>
        <sz val="12"/>
        <color indexed="8"/>
        <rFont val="Calibri"/>
        <family val="2"/>
      </rPr>
      <t xml:space="preserve">(as in "TEST - Household listing survey"), it will not appear by default to users (see the following help topic: </t>
    </r>
    <r>
      <rPr>
        <i/>
        <sz val="12"/>
        <color indexed="8"/>
        <rFont val="Calibri"/>
        <family val="2"/>
      </rPr>
      <t>How can I prevent forms from appearing until after I am finished testing them?</t>
    </r>
    <r>
      <rPr>
        <sz val="12"/>
        <color indexed="8"/>
        <rFont val="Calibri"/>
        <family val="2"/>
      </rPr>
      <t>).</t>
    </r>
  </si>
  <si>
    <r>
      <t xml:space="preserve">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</si>
  <si>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</si>
  <si>
    <r>
      <t xml:space="preserve">This is the public key with which to encrypt all form submissions. See the following help topic for details: </t>
    </r>
    <r>
      <rPr>
        <i/>
        <sz val="12"/>
        <color indexed="8"/>
        <rFont val="Calibri"/>
        <family val="2"/>
      </rPr>
      <t>How do I encrypt my data?</t>
    </r>
  </si>
  <si>
    <r>
      <t xml:space="preserve">This is the submission URL to use when submitting encrypted forms. See the following help topic for details: </t>
    </r>
    <r>
      <rPr>
        <i/>
        <sz val="12"/>
        <color indexed="8"/>
        <rFont val="Calibri"/>
        <family val="2"/>
      </rPr>
      <t>How do I encrypt my data?</t>
    </r>
  </si>
  <si>
    <r>
      <t xml:space="preserve">This is the name of the language associated with labels, images, and other content when no other language is specified. For example, the </t>
    </r>
    <r>
      <rPr>
        <i/>
        <sz val="12"/>
        <color indexed="8"/>
        <rFont val="Calibri"/>
        <family val="2"/>
      </rPr>
      <t xml:space="preserve">label:french </t>
    </r>
    <r>
      <rPr>
        <sz val="12"/>
        <color indexed="8"/>
        <rFont val="Calibri"/>
        <family val="2"/>
      </rPr>
      <t xml:space="preserve">column is clearly in French, but the </t>
    </r>
    <r>
      <rPr>
        <i/>
        <sz val="12"/>
        <color indexed="8"/>
        <rFont val="Calibri"/>
        <family val="2"/>
      </rPr>
      <t>label</t>
    </r>
    <r>
      <rPr>
        <sz val="12"/>
        <color indexed="8"/>
        <rFont val="Calibri"/>
        <family val="2"/>
      </rPr>
      <t xml:space="preserve"> column, which will display by default, is in an unknown language. Put the name of that default language here. See the following help topic for details: </t>
    </r>
    <r>
      <rPr>
        <i/>
        <sz val="12"/>
        <color indexed="8"/>
        <rFont val="Calibri"/>
        <family val="2"/>
      </rPr>
      <t>How do I translate my form into multiple languages?</t>
    </r>
  </si>
  <si>
    <t>lbl_intro</t>
  </si>
  <si>
    <t>select_one sino</t>
  </si>
  <si>
    <t>encuesta</t>
  </si>
  <si>
    <t>sino</t>
  </si>
  <si>
    <t>Sí</t>
  </si>
  <si>
    <t>informante_id</t>
  </si>
  <si>
    <t>select_one consent</t>
  </si>
  <si>
    <t>Acepto</t>
  </si>
  <si>
    <t>No acepto</t>
  </si>
  <si>
    <t>consentimiento</t>
  </si>
  <si>
    <t>autorizo</t>
  </si>
  <si>
    <t>Sí, autorizo</t>
  </si>
  <si>
    <t>No autorizo</t>
  </si>
  <si>
    <t>recibe_asistencia</t>
  </si>
  <si>
    <t>Escribir nombre exacto: PMA, Alcaldía, etc.)</t>
  </si>
  <si>
    <t>meses_asistencia</t>
  </si>
  <si>
    <t>${consentimiento} = 1</t>
  </si>
  <si>
    <t>${recibe_asistencia} = 1</t>
  </si>
  <si>
    <t>inicio_encuesta</t>
  </si>
  <si>
    <t>device_info</t>
  </si>
  <si>
    <t/>
  </si>
  <si>
    <t>device-info()</t>
  </si>
  <si>
    <t>duration</t>
  </si>
  <si>
    <t>duration()</t>
  </si>
  <si>
    <t>ID</t>
  </si>
  <si>
    <t>pull_name</t>
  </si>
  <si>
    <t>acepta_llamada</t>
  </si>
  <si>
    <t>¿La persona le contestó la llamada y puede empezar la encuesta en este momento?</t>
  </si>
  <si>
    <t>select_one llamada</t>
  </si>
  <si>
    <t>no_acepta</t>
  </si>
  <si>
    <t>llamada</t>
  </si>
  <si>
    <t>No contesta</t>
  </si>
  <si>
    <t>Número equivocado</t>
  </si>
  <si>
    <t>Pidió reagendamiento</t>
  </si>
  <si>
    <t>No desea participar</t>
  </si>
  <si>
    <t>Número fuera de servicio</t>
  </si>
  <si>
    <t>intro</t>
  </si>
  <si>
    <t>field-list</t>
  </si>
  <si>
    <t>${acepta_llamada} = 1</t>
  </si>
  <si>
    <t>¿Está el/la jefe de hogar disponible para responder la encuesta?</t>
  </si>
  <si>
    <t>informante_id_2</t>
  </si>
  <si>
    <t>${informante_id} = 0</t>
  </si>
  <si>
    <t>${acepta_llamada} = 1 and (${informante_id} = 1 or ${informante_id_2} = 1)</t>
  </si>
  <si>
    <t xml:space="preserve">¿Qué ocurrió con la llamada? </t>
  </si>
  <si>
    <t>${acepta_llamada} = 1 and (${informante_id} = 1 or ${informante_id_2} = 1) and ${consentimiento} = 1</t>
  </si>
  <si>
    <t>username</t>
  </si>
  <si>
    <t>datos_hogar</t>
  </si>
  <si>
    <t>departamento</t>
  </si>
  <si>
    <t>pull_dpto</t>
  </si>
  <si>
    <t>pull_mpio</t>
  </si>
  <si>
    <t>municipio</t>
  </si>
  <si>
    <t>select_one departamento</t>
  </si>
  <si>
    <t>departamento_corr</t>
  </si>
  <si>
    <t>minimal search('divipola_csv')</t>
  </si>
  <si>
    <t>Dpto</t>
  </si>
  <si>
    <t>select_one municipio</t>
  </si>
  <si>
    <t>municipio_corr</t>
  </si>
  <si>
    <t>¿En qué municipio vive actualmente?</t>
  </si>
  <si>
    <t>trayectoria_migratoria</t>
  </si>
  <si>
    <t>Responda con un número entero</t>
  </si>
  <si>
    <t>select_one zona</t>
  </si>
  <si>
    <t>Mpio</t>
  </si>
  <si>
    <t>zona</t>
  </si>
  <si>
    <t>telefono_contacto</t>
  </si>
  <si>
    <t>telefono_contacto_si</t>
  </si>
  <si>
    <t>Por favor indíqueme el número de contacto alternativo</t>
  </si>
  <si>
    <t>correo_electronico</t>
  </si>
  <si>
    <t>correo_electronico_si</t>
  </si>
  <si>
    <t>Por favor indíqueme el correo eléctronico</t>
  </si>
  <si>
    <t>regex(., "^[A-Za-z0-9._%+-]+@[A-Za-z0-9.-]+\.[A-Za-z]{2,}$")</t>
  </si>
  <si>
    <t>El correo ingresado no es correcto. Verifique que no tenga espacios y que incluya un punto (.) y un símbolo @</t>
  </si>
  <si>
    <t>condiciones_migratorias</t>
  </si>
  <si>
    <t>select_one quedarse</t>
  </si>
  <si>
    <t>intencion_quedarse</t>
  </si>
  <si>
    <t>quedarse</t>
  </si>
  <si>
    <t>Planea seguir viviendo en Colombia</t>
  </si>
  <si>
    <t>Planear regresar a su país de origen</t>
  </si>
  <si>
    <t>Planea mudarse fuera de Colombia (a otro lugar que no sea su país de origen)</t>
  </si>
  <si>
    <t>select_one estatus</t>
  </si>
  <si>
    <t>estatus_migratorio</t>
  </si>
  <si>
    <t>estatus</t>
  </si>
  <si>
    <t>Regular con PPT (Permiso por Protección Temporal)</t>
  </si>
  <si>
    <t>Regular con PPT en trámite / Constancia</t>
  </si>
  <si>
    <t>Regular con PEP (Permiso Especial de Permanencia)</t>
  </si>
  <si>
    <t>Regular con otro documento (Visa, Cédula de Extranjería, Salvoconducto)</t>
  </si>
  <si>
    <t>Irregular (Sin documentos vigentes)</t>
  </si>
  <si>
    <t>Solicitante de refugio / Protección Internacional</t>
  </si>
  <si>
    <t>sisben_encuesta</t>
  </si>
  <si>
    <t>select_one sisben</t>
  </si>
  <si>
    <t>sisben_grupo</t>
  </si>
  <si>
    <t>sisben</t>
  </si>
  <si>
    <t>A</t>
  </si>
  <si>
    <t>B</t>
  </si>
  <si>
    <t>C</t>
  </si>
  <si>
    <t>No sabe</t>
  </si>
  <si>
    <t>D</t>
  </si>
  <si>
    <t>${sisben_encuesta} = 1</t>
  </si>
  <si>
    <t>datos_personales</t>
  </si>
  <si>
    <t>nombre_apellido_jefe</t>
  </si>
  <si>
    <t>nombre_apellido_jefe_corr</t>
  </si>
  <si>
    <t>Indíqueme sus nombres y apellidos por favor</t>
  </si>
  <si>
    <t>string-length(.) &gt;= 2 and regex(., "^[A-Za-zñÑáéíóúÁÉÍÓÚ ]+$")</t>
  </si>
  <si>
    <t>Escriba un nombre válido</t>
  </si>
  <si>
    <t>${nombre_apellido_jefe} = 0</t>
  </si>
  <si>
    <t>tipo_documento</t>
  </si>
  <si>
    <t>tipo_doc</t>
  </si>
  <si>
    <t>Cédula de Extranjería (CE)</t>
  </si>
  <si>
    <t>Permiso por Protección Temporal (PPT)</t>
  </si>
  <si>
    <t>Permiso Especial de Permanencia (PEP)</t>
  </si>
  <si>
    <t>Salvoconducto (SC-2)</t>
  </si>
  <si>
    <t>Pasaporte</t>
  </si>
  <si>
    <t>Documento de Identidad (DNI) país de origen</t>
  </si>
  <si>
    <t>Constancia de trámite PPT (RUMV)</t>
  </si>
  <si>
    <t>Sin documento de identidad</t>
  </si>
  <si>
    <t>select_one tipo_doc</t>
  </si>
  <si>
    <t>Cédula de ciudadanía (CC)</t>
  </si>
  <si>
    <t>string-length(.) &gt;= 5</t>
  </si>
  <si>
    <t>Escriba un documento válido</t>
  </si>
  <si>
    <t>select_one sexo</t>
  </si>
  <si>
    <t>numero_documento</t>
  </si>
  <si>
    <t>sexo</t>
  </si>
  <si>
    <t>Hombre</t>
  </si>
  <si>
    <t>Mujer</t>
  </si>
  <si>
    <t>select_one nacionalidad</t>
  </si>
  <si>
    <t>nacionalidad</t>
  </si>
  <si>
    <t>Colombiana</t>
  </si>
  <si>
    <t>Venezolana</t>
  </si>
  <si>
    <t>Otra</t>
  </si>
  <si>
    <t>nacionalidad_66</t>
  </si>
  <si>
    <t>¿Qué otra nacionalidad?</t>
  </si>
  <si>
    <t>${nacionalidad} = 66</t>
  </si>
  <si>
    <t>fecha_nacimiento</t>
  </si>
  <si>
    <t>. &lt;= date('2008-01-20')</t>
  </si>
  <si>
    <t>La fecha debe ser de un mayor de edad</t>
  </si>
  <si>
    <t>h_size</t>
  </si>
  <si>
    <t>salida</t>
  </si>
  <si>
    <t>Emigró a otro país</t>
  </si>
  <si>
    <t>Regresó a Venezuela</t>
  </si>
  <si>
    <t>Se independizó</t>
  </si>
  <si>
    <t>Otro</t>
  </si>
  <si>
    <t>Mercy_seguimiento</t>
  </si>
  <si>
    <t>Cuestionario Seguimiento</t>
  </si>
  <si>
    <t>spanish</t>
  </si>
  <si>
    <t>organizacion</t>
  </si>
  <si>
    <t>nuevos_miembros</t>
  </si>
  <si>
    <t>¿Hay otras personas adicionales que conformen su hogar?</t>
  </si>
  <si>
    <t>Es decir que duerman bajo el mismo techo y compartan gastos de alimentación</t>
  </si>
  <si>
    <t>${nuevos_miembros} = 1</t>
  </si>
  <si>
    <t>¿Cuántas personas más conforman su hogar?</t>
  </si>
  <si>
    <t>El número debe ser mayor que 0 y menor que 10</t>
  </si>
  <si>
    <t>relacion</t>
  </si>
  <si>
    <t>Cabeza de hogar</t>
  </si>
  <si>
    <t>Padre/Madre</t>
  </si>
  <si>
    <t>Pareja</t>
  </si>
  <si>
    <t>Hijo(a)</t>
  </si>
  <si>
    <t>Hijastro(a)</t>
  </si>
  <si>
    <t>Nieto(a)</t>
  </si>
  <si>
    <t>Hermano(a)</t>
  </si>
  <si>
    <t>Abuelo(a)</t>
  </si>
  <si>
    <t>Cuñado(a)</t>
  </si>
  <si>
    <t>Suegro(a)</t>
  </si>
  <si>
    <t>Tio(a)</t>
  </si>
  <si>
    <t>Primo(a)</t>
  </si>
  <si>
    <t>Sobrino(a)</t>
  </si>
  <si>
    <t>Yerno</t>
  </si>
  <si>
    <t>Nuera</t>
  </si>
  <si>
    <t>Amigos</t>
  </si>
  <si>
    <t>Ninguno</t>
  </si>
  <si>
    <t>Básica Primaria</t>
  </si>
  <si>
    <t>Secundaria</t>
  </si>
  <si>
    <t>Técnico medio</t>
  </si>
  <si>
    <t>Tecnologo / TSU</t>
  </si>
  <si>
    <t>Universitario</t>
  </si>
  <si>
    <t>Especialización</t>
  </si>
  <si>
    <t>Maestría</t>
  </si>
  <si>
    <t>Doctorado</t>
  </si>
  <si>
    <t>Prefiero no responder</t>
  </si>
  <si>
    <t>educacion</t>
  </si>
  <si>
    <t>nuevos_miembros_lf</t>
  </si>
  <si>
    <t>necesidades_basicas</t>
  </si>
  <si>
    <t>select_one satis</t>
  </si>
  <si>
    <t>satisfaccion_nb</t>
  </si>
  <si>
    <t>satis</t>
  </si>
  <si>
    <t>Todas</t>
  </si>
  <si>
    <t>La mayoría</t>
  </si>
  <si>
    <t>Algunas</t>
  </si>
  <si>
    <t>Ninguna</t>
  </si>
  <si>
    <t>select_multiple necesidades</t>
  </si>
  <si>
    <t>nb_no_satisfechas</t>
  </si>
  <si>
    <t>Puede seleccionar más de una</t>
  </si>
  <si>
    <t>necesidades</t>
  </si>
  <si>
    <t>Alojamiento</t>
  </si>
  <si>
    <t>Comida</t>
  </si>
  <si>
    <t>Empleo</t>
  </si>
  <si>
    <t>Salud</t>
  </si>
  <si>
    <t>Educación</t>
  </si>
  <si>
    <t>Agua</t>
  </si>
  <si>
    <t>estrategias</t>
  </si>
  <si>
    <t>lcsi</t>
  </si>
  <si>
    <t xml:space="preserve"> ¿En el último mes (30 días), alguien en su hogar se vio en la necesidad de hacer alguna de las siguientes actividades debido a que no había suficientes alimentos o dinero para comprar comida?</t>
  </si>
  <si>
    <t>select_one lcsi</t>
  </si>
  <si>
    <t xml:space="preserve"> No en los últimos 30 días. Sin embargo acudimos a esta estrategia en meses pasados (durante el último año)</t>
  </si>
  <si>
    <t>lcsi_01</t>
  </si>
  <si>
    <t>lcsi_02</t>
  </si>
  <si>
    <t>lcsi_03</t>
  </si>
  <si>
    <t>lcsi_04</t>
  </si>
  <si>
    <t>lcsi_05</t>
  </si>
  <si>
    <t>lcsi_06</t>
  </si>
  <si>
    <t>lcsi_07</t>
  </si>
  <si>
    <t>lcsi_08</t>
  </si>
  <si>
    <t>lcsi_09</t>
  </si>
  <si>
    <t>lcsi_10</t>
  </si>
  <si>
    <t>lcsi_11</t>
  </si>
  <si>
    <t>lcsi_12</t>
  </si>
  <si>
    <t>lcsi_13</t>
  </si>
  <si>
    <t>lcsi_14</t>
  </si>
  <si>
    <t>lcsi_15</t>
  </si>
  <si>
    <t>Depender de la ayuda de familiares y/o amigos/vecinos o pedir dinero prestado</t>
  </si>
  <si>
    <t>Comprar alimentos a crédito</t>
  </si>
  <si>
    <t>Gastar los ahorros</t>
  </si>
  <si>
    <t>Reducir gastos en salud (medicinas), educación o vestuario</t>
  </si>
  <si>
    <t>Sacar a los niños/as de la escuela para que aporten a la economía del hogar</t>
  </si>
  <si>
    <t>Vender la casa o la tierra</t>
  </si>
  <si>
    <t>Vender bienes personales (cabello, joyas, ropa, zapatos, etc)</t>
  </si>
  <si>
    <t>Vender activos del hogar (radio, muebles, TV, bicicletas)</t>
  </si>
  <si>
    <t>Pedir ayuda o donación en la calle para comprar comida</t>
  </si>
  <si>
    <t>Aceptar trabajo informal mal remunerado</t>
  </si>
  <si>
    <t>Trabajar a cambio de alimentos</t>
  </si>
  <si>
    <t>Realizar alguna actividad que nunca pensó hacer y prefiere no comentar</t>
  </si>
  <si>
    <t>Recolectar desperdicios o residuos de alimentos</t>
  </si>
  <si>
    <t>Migrar a otra parte del país o a otro país</t>
  </si>
  <si>
    <t>Aceptar empleos riesgosos o realizar trabajo forzado</t>
  </si>
  <si>
    <t>inseguridad</t>
  </si>
  <si>
    <t>discriminacion</t>
  </si>
  <si>
    <t>frecuencia</t>
  </si>
  <si>
    <t>Nunca</t>
  </si>
  <si>
    <t>Casi Nunca</t>
  </si>
  <si>
    <t>A veces</t>
  </si>
  <si>
    <t>Con frecuencia</t>
  </si>
  <si>
    <t>Siempre</t>
  </si>
  <si>
    <t>No sabe/No responde</t>
  </si>
  <si>
    <t>consumo_alimentos</t>
  </si>
  <si>
    <t>comedor_comunitario</t>
  </si>
  <si>
    <t>select_one comidas</t>
  </si>
  <si>
    <t>promedio_comidas</t>
  </si>
  <si>
    <t>comidas</t>
  </si>
  <si>
    <t>Menos de 2 comidas al día</t>
  </si>
  <si>
    <t>2 comidas al día</t>
  </si>
  <si>
    <t>3 comidas al día</t>
  </si>
  <si>
    <t>lugar_cocinar</t>
  </si>
  <si>
    <t>select_one decisiones</t>
  </si>
  <si>
    <t>toma_decisiones</t>
  </si>
  <si>
    <t>decisiones</t>
  </si>
  <si>
    <t xml:space="preserve">Decisión consensuada entre los adultos </t>
  </si>
  <si>
    <t>tomar_decisiones_66</t>
  </si>
  <si>
    <t>¿Qué otra persona?</t>
  </si>
  <si>
    <t>indice_consumo</t>
  </si>
  <si>
    <t>indice_note</t>
  </si>
  <si>
    <t>select_one siete</t>
  </si>
  <si>
    <t>siete</t>
  </si>
  <si>
    <t>fcs_cereales</t>
  </si>
  <si>
    <t>Cereales, raíces y tubérculos</t>
  </si>
  <si>
    <t>Ej: Arroz, Pan, Maíz, Papa, Yuca, Pastas, Arepas, Plátano.</t>
  </si>
  <si>
    <t>fcs_carnes</t>
  </si>
  <si>
    <t>Carne, huevos y pescado</t>
  </si>
  <si>
    <t>fcs_legumbres</t>
  </si>
  <si>
    <t>Legumbres y frutas secas</t>
  </si>
  <si>
    <t>Ej: Frijoles, caraotas, lentejas, garbanzos, arvejas, maní.</t>
  </si>
  <si>
    <t>fcs_lacteos</t>
  </si>
  <si>
    <t>Leche y productos lácteos</t>
  </si>
  <si>
    <t>fcs_vegetales</t>
  </si>
  <si>
    <t>Vegetales</t>
  </si>
  <si>
    <t>Ej: Zanahoria, Tomate, Lechuga, Habichuelas.</t>
  </si>
  <si>
    <t>fcs_frutas</t>
  </si>
  <si>
    <t>Frutas</t>
  </si>
  <si>
    <t>Ej: Manzana, Naranja, Banano, Guayaba, Mango, Piña.</t>
  </si>
  <si>
    <t>fcs_grasas</t>
  </si>
  <si>
    <t>Aceite / grasas</t>
  </si>
  <si>
    <t>Ej: Aceite, Margarina, Mantequilla, Mayonesa, Aguacate.</t>
  </si>
  <si>
    <t>fcs_azucar</t>
  </si>
  <si>
    <t>Azúcar / miel</t>
  </si>
  <si>
    <t>Ej: Gaseosa, azúcar, panela, miel, dulces, mermeladas.</t>
  </si>
  <si>
    <t>fcs_condimentos</t>
  </si>
  <si>
    <t>Condimentos</t>
  </si>
  <si>
    <t>Ej: Café/cacao, sal, pequeñas cantidades de leche, etc.</t>
  </si>
  <si>
    <t>Ej: Res, pollo, cerdo, pescado, huevos. (Aquí no se deben contar pequeñas cantidades de carnes o carnes en polvo, ya que se clasifican como un "condimento" y se capturarán más adelante).</t>
  </si>
  <si>
    <t>Ej: Leche, queso, yogurt, cuajada. (Excluir pequeñas cantidades de margarina/mantequilla y pequeñas cantidades de leche para el té/café).</t>
  </si>
  <si>
    <t>0 días</t>
  </si>
  <si>
    <t>1 día</t>
  </si>
  <si>
    <t>2 días</t>
  </si>
  <si>
    <t>3 días</t>
  </si>
  <si>
    <t>4 días</t>
  </si>
  <si>
    <t>5 días</t>
  </si>
  <si>
    <t>6 días</t>
  </si>
  <si>
    <t>7 días</t>
  </si>
  <si>
    <t>indice_afrontamiento</t>
  </si>
  <si>
    <t>intro_rcsi</t>
  </si>
  <si>
    <t>rcsi_baratos</t>
  </si>
  <si>
    <t>rcsi_pedir</t>
  </si>
  <si>
    <t>rcsi_porciones</t>
  </si>
  <si>
    <t>rcsi_adultos</t>
  </si>
  <si>
    <t>rcsi_comidas</t>
  </si>
  <si>
    <t>&lt;b&gt;Nota:&lt;/b&gt; &lt;i&gt;Leer lo siguiente:&lt;/i&gt;&lt;br&gt;&lt;br&gt;Ahora, me gustaría hacerle algunas preguntas sobre las estrategias que utiliza su hogar para hacer frente a la falta de alimentos. Voy a leer algunas estrategias y me gustaría saber cuántos días ha tenido su hogar para emplear la estrategia en los últimos 7 días debido a la falta de recursos para comprar alimentos. &lt;br&gt;&lt;br&gt;Por favor, dígame el número de días, ya sea &lt;b&gt;0 o hasta 7 días&lt;/b&gt;.</t>
  </si>
  <si>
    <t>frecuencia2</t>
  </si>
  <si>
    <t>Pocas (1-2 veces)</t>
  </si>
  <si>
    <t>Algunas (3-10 veces)</t>
  </si>
  <si>
    <t>Muchas (más de 10 veces)</t>
  </si>
  <si>
    <t>hhs_falta_comida</t>
  </si>
  <si>
    <t>select_one frecuencia2</t>
  </si>
  <si>
    <t>hhs_frec_1</t>
  </si>
  <si>
    <t>hhs_dormir_hambre</t>
  </si>
  <si>
    <t>hhs_frec_2</t>
  </si>
  <si>
    <t>hhs_sin_comer</t>
  </si>
  <si>
    <t>hhs_frec_3</t>
  </si>
  <si>
    <t>Jefe del hogar</t>
  </si>
  <si>
    <t>Pareja / cónyuge</t>
  </si>
  <si>
    <t>Otro miembro de la familia</t>
  </si>
  <si>
    <t>Otro no pariente</t>
  </si>
  <si>
    <t>Decisión consensuada entre los adultos del hogar</t>
  </si>
  <si>
    <t>Subsidiado (SISBEN)</t>
  </si>
  <si>
    <t>Contributivo</t>
  </si>
  <si>
    <t>No está afiliado a ningún régimen</t>
  </si>
  <si>
    <t>Estable y permanente</t>
  </si>
  <si>
    <t>Inestable y temporal</t>
  </si>
  <si>
    <t>Inexistente</t>
  </si>
  <si>
    <t>Reciclador(a)</t>
  </si>
  <si>
    <t>Venta ambulante en la calle</t>
  </si>
  <si>
    <t>Pensión/jubilación</t>
  </si>
  <si>
    <t>Remesas de emigrantes (dentro o fuera del país)</t>
  </si>
  <si>
    <t>Ayuda humanitaria</t>
  </si>
  <si>
    <t>Ayuda/apoyo de familiares/amigos(as)/vecinos(as)/etc.</t>
  </si>
  <si>
    <t>No tiene fuente de ingresos</t>
  </si>
  <si>
    <t>quien_decide</t>
  </si>
  <si>
    <t>regimen_salud</t>
  </si>
  <si>
    <t>desc_ingreso</t>
  </si>
  <si>
    <t>fuente_ingreso</t>
  </si>
  <si>
    <t>Empleo asalariado (incluye empleados del gobierno)</t>
  </si>
  <si>
    <t>Trabajo diario irregular, trabajador casual</t>
  </si>
  <si>
    <t>Trabajo independiente (taxi, carpintero, etc.)</t>
  </si>
  <si>
    <t>Venta de productos agrícolas o pecuarios</t>
  </si>
  <si>
    <t>Jornaleo en actividad agrícola</t>
  </si>
  <si>
    <t>Vender bienes personales (celular, joyas, ropa, etc.)</t>
  </si>
  <si>
    <t>salud_economia</t>
  </si>
  <si>
    <t>select_one quien_decide</t>
  </si>
  <si>
    <t>quien_decide_dinero</t>
  </si>
  <si>
    <t>select_one regimen_salud</t>
  </si>
  <si>
    <t>regimen_salud_jefe</t>
  </si>
  <si>
    <t>ingresos_semana</t>
  </si>
  <si>
    <t>select_one desc_ingreso</t>
  </si>
  <si>
    <t>ingresos_descripcion</t>
  </si>
  <si>
    <t>select_one fuente_ingreso</t>
  </si>
  <si>
    <t>fuente_ingreso_ppal</t>
  </si>
  <si>
    <t>Solo 1 opción.</t>
  </si>
  <si>
    <t>gasto_alimentos</t>
  </si>
  <si>
    <t>Registrar valor en COP.</t>
  </si>
  <si>
    <t>v_alimentos</t>
  </si>
  <si>
    <t>${gasto_alimentos} &gt; 500000</t>
  </si>
  <si>
    <t>gasto_agua</t>
  </si>
  <si>
    <t>v_agua</t>
  </si>
  <si>
    <t>${gasto_agua} &gt; 500000</t>
  </si>
  <si>
    <t>gasto_energia</t>
  </si>
  <si>
    <t>v_energia</t>
  </si>
  <si>
    <t>${gasto_energia} &gt; 500000</t>
  </si>
  <si>
    <t>gasto_gas_gasolina</t>
  </si>
  <si>
    <t>v_gas</t>
  </si>
  <si>
    <t>${gasto_gas_gasolina} &gt; 500000</t>
  </si>
  <si>
    <t>gasto_carbon_lena</t>
  </si>
  <si>
    <t>v_carbon</t>
  </si>
  <si>
    <t>${gasto_carbon_lena} &gt; 500000</t>
  </si>
  <si>
    <t>gasto_no_alim</t>
  </si>
  <si>
    <t>v_no_alim</t>
  </si>
  <si>
    <t>${gasto_no_alim} &gt; 500000</t>
  </si>
  <si>
    <t>gasto_educacion</t>
  </si>
  <si>
    <t>v_edu</t>
  </si>
  <si>
    <t>${gasto_educacion} &gt; 500000</t>
  </si>
  <si>
    <t>gasto_transporte</t>
  </si>
  <si>
    <t>v_trans</t>
  </si>
  <si>
    <t>${gasto_transporte} &gt; 500000</t>
  </si>
  <si>
    <t>gasto_arriendo</t>
  </si>
  <si>
    <t>v_arriendo</t>
  </si>
  <si>
    <t>${gasto_arriendo} &gt; 500000</t>
  </si>
  <si>
    <t>gasto_salud</t>
  </si>
  <si>
    <t>v_salud</t>
  </si>
  <si>
    <t>${gasto_salud} &gt; 500000</t>
  </si>
  <si>
    <t>gasto_prestamos</t>
  </si>
  <si>
    <t>v_prestamos</t>
  </si>
  <si>
    <t>${gasto_prestamos} &gt; 500000</t>
  </si>
  <si>
    <t>gasto_inversion</t>
  </si>
  <si>
    <t>v_inversion</t>
  </si>
  <si>
    <t>${gasto_inversion} &gt; 500000</t>
  </si>
  <si>
    <t>gasto_remesas_ven</t>
  </si>
  <si>
    <t>v_remesas</t>
  </si>
  <si>
    <t>${gasto_remesas_ven} &gt; 500000</t>
  </si>
  <si>
    <t>gasto_ahorros</t>
  </si>
  <si>
    <t>v_ahorros</t>
  </si>
  <si>
    <t>${gasto_ahorros} &gt; 500000</t>
  </si>
  <si>
    <t>gasto_otros</t>
  </si>
  <si>
    <t>v_otros</t>
  </si>
  <si>
    <t>${gasto_otros} &gt; 500000</t>
  </si>
  <si>
    <t>.&gt;=0</t>
  </si>
  <si>
    <t>decide_asistencia</t>
  </si>
  <si>
    <t>El cónyugue</t>
  </si>
  <si>
    <t>Ambos</t>
  </si>
  <si>
    <t>Otro miembro del hogar</t>
  </si>
  <si>
    <t>agradecimiento</t>
  </si>
  <si>
    <t>stamp_datos_hogar</t>
  </si>
  <si>
    <t>once(duration())</t>
  </si>
  <si>
    <t>stamp_datos_hogar2</t>
  </si>
  <si>
    <t>stamp_condiciones</t>
  </si>
  <si>
    <t>stamp_condiciones2</t>
  </si>
  <si>
    <t>time_datos_hogar_sec</t>
  </si>
  <si>
    <t>time_condiciones_sec</t>
  </si>
  <si>
    <t>${stamp_datos_hogar2} - ${stamp_datos_hogar}</t>
  </si>
  <si>
    <t>${stamp_condiciones2} - ${stamp_condiciones}</t>
  </si>
  <si>
    <t>stamp_datos</t>
  </si>
  <si>
    <t>stamp_datos2</t>
  </si>
  <si>
    <t>time_datos_sec</t>
  </si>
  <si>
    <t>${stamp_datos2} - ${stamp_datos}</t>
  </si>
  <si>
    <t>stamp_consumo</t>
  </si>
  <si>
    <t>stamp_consumo2</t>
  </si>
  <si>
    <t>time_consumo_sec</t>
  </si>
  <si>
    <t>${stamp_consumo2} - ${stamp_consumo}</t>
  </si>
  <si>
    <t>stamp_necesidades</t>
  </si>
  <si>
    <t>stamp_necesidades2</t>
  </si>
  <si>
    <t>time_necesidades_sec</t>
  </si>
  <si>
    <t>${stamp_necesidades2} - ${stamp_necesidades}</t>
  </si>
  <si>
    <t>stamp_salud</t>
  </si>
  <si>
    <t>stamp_salud2</t>
  </si>
  <si>
    <t>time_salud_sec</t>
  </si>
  <si>
    <t>${stamp_salud2} - ${stamp_salud}</t>
  </si>
  <si>
    <t>time_encuesta_sec</t>
  </si>
  <si>
    <t>${stamp_encuesta2} - ${stamp_encuesta}</t>
  </si>
  <si>
    <t>stamp_encuesta</t>
  </si>
  <si>
    <t>stamp_encuesta2</t>
  </si>
  <si>
    <t>${acepta_llamada} = 0 or ${informante_id_2} = 0</t>
  </si>
  <si>
    <t>${departamento} = 1</t>
  </si>
  <si>
    <t>${telefono_contacto} = 1</t>
  </si>
  <si>
    <t>${correo_electronico} = 1</t>
  </si>
  <si>
    <t>Doble (Colombiana y Venezolana)</t>
  </si>
  <si>
    <t>audit</t>
  </si>
  <si>
    <t>Muchas gracias por su tiempo.</t>
  </si>
  <si>
    <t>${satisfaccion_nb} &gt; 1</t>
  </si>
  <si>
    <t>socio_pull</t>
  </si>
  <si>
    <t>fecha_pull</t>
  </si>
  <si>
    <t>lcsi_note2</t>
  </si>
  <si>
    <t>lcsi_note3</t>
  </si>
  <si>
    <t>Me dio otro número de contacto</t>
  </si>
  <si>
    <t>nuevo_numero</t>
  </si>
  <si>
    <t>Escriba el nuevo número de teléfono del/la jefe de hogar</t>
  </si>
  <si>
    <t>${no_acepta} = 6</t>
  </si>
  <si>
    <t>Ya no vive en Colombia</t>
  </si>
  <si>
    <t>Escriba el número con el código de país</t>
  </si>
  <si>
    <t>indice_note2</t>
  </si>
  <si>
    <t>Indíqueme cuántas veces &lt;b&gt; en los últimos 7 días&lt;b&gt; usted ha comido los siguientes grupos de alimentos</t>
  </si>
  <si>
    <t>4 o más comidas al día</t>
  </si>
  <si>
    <t>Ingresar valor en pesos (COP). Temporalidad: Últimos 7 días. &lt;span style="color:red"&gt;Si la persona no sabe escriba 99 o si no quiere responder escriba 88&lt;/span&gt;</t>
  </si>
  <si>
    <t>obs</t>
  </si>
  <si>
    <t>&lt;b&gt;Observaciones del encuestador&lt;/b&gt;</t>
  </si>
  <si>
    <t>Si no tiene observaciones, escriba NA</t>
  </si>
  <si>
    <t>. &gt;= 0 and . &lt; 10</t>
  </si>
  <si>
    <t>Ingrese el número de personas adicionales. Si no hay nadie más escriba 0</t>
  </si>
  <si>
    <t xml:space="preserve"> ¿Cuánto gastó el hogar en los últimos 30 días en Alimentos? &lt;br&gt;  &lt;span style="color:red"&gt;Si la persona no sabe escriba 99 o si no quiere responder escriba 88&lt;/span&gt;</t>
  </si>
  <si>
    <t xml:space="preserve"> ¿Cuánto gastó el hogar en los últimos 30 días en Agua? &lt;br&gt; &lt;span style="color:red"&gt;Si la persona no sabe escriba 99 o si no quiere responder escriba 88&lt;/span&gt;</t>
  </si>
  <si>
    <t xml:space="preserve"> ¿Cuánto gastó el hogar en los últimos 30 días en Energía eléctrica? &lt;br&gt; &lt;span style="color:red"&gt;Si la persona no sabe escriba 99 o si no quiere responder escriba 88&lt;/span&gt;</t>
  </si>
  <si>
    <t xml:space="preserve"> ¿Cuánto gastó el hogar en los últimos 30 días en Gas y Gasolina? &lt;br&gt; &lt;span style="color:red"&gt;Si la persona no sabe escriba 99 o si no quiere responder escriba 88&lt;/span&gt;</t>
  </si>
  <si>
    <t xml:space="preserve"> ¿Cuánto gastó el hogar en los últimos 30 días en Leña y Carbón? &lt;br&gt; &lt;span style="color:red"&gt;Si la persona no sabe escriba 99 o si no quiere responder escriba 88&lt;/span&gt;</t>
  </si>
  <si>
    <t xml:space="preserve"> ¿Cuánto gastó el hogar en los últimos 30 días en Artículos no alimentarios (Jabón, toallas higiénicas, etc.)? &lt;br&gt; &lt;span style="color:red"&gt;Si la persona no sabe escriba 99 o si no quiere responder escriba 88&lt;/span&gt;</t>
  </si>
  <si>
    <t xml:space="preserve"> ¿Cuánto gastó el hogar en los últimos 30 días en Educación? &lt;br&gt; &lt;span style="color:red"&gt;Si la persona no sabe escriba 99 o si no quiere responder escriba 88&lt;/span&gt;</t>
  </si>
  <si>
    <t xml:space="preserve"> ¿Cuánto gastó el hogar en los últimos 30 días en Transporte? &lt;br&gt; &lt;span style="color:red"&gt;Si la persona no sabe escriba 99 o si no quiere responder escriba 88&lt;/span&gt;</t>
  </si>
  <si>
    <t xml:space="preserve"> ¿Cuánto gastó el hogar en los últimos 30 días en Arriendo? &lt;br&gt; &lt;span style="color:red"&gt;Si la persona no sabe escriba 99 o si no quiere responder escriba 88&lt;/span&gt;</t>
  </si>
  <si>
    <t xml:space="preserve"> ¿Cuánto gastó el hogar en los últimos 30 días en Salud (servicio médico y/o medicinas)? &lt;br&gt; &lt;span style="color:red"&gt;Si la persona no sabe escriba 99 o si no quiere responder escriba 88&lt;/span&gt;</t>
  </si>
  <si>
    <t xml:space="preserve"> ¿Cuánto gastó el hogar en los últimos 30 días en Pago de préstamos? &lt;br&gt; &lt;span style="color:red"&gt;Si la persona no sabe escriba 99 o si no quiere responder escriba 88&lt;/span&gt;</t>
  </si>
  <si>
    <t xml:space="preserve"> ¿Cuánto gastó el hogar en los últimos 30 días en Inversión para generación de ingresos? &lt;br&gt; &lt;span style="color:red"&gt;Si la persona no sabe escriba 99 o si no quiere responder escriba 88&lt;/span&gt;</t>
  </si>
  <si>
    <t xml:space="preserve"> ¿Cuánto gastó el hogar en los últimos 30 días en Transferencias a Venezuela? &lt;br&gt; &lt;span style="color:red"&gt;Si la persona no sabe escriba 99 o si no quiere responder escriba 88&lt;/span&gt;</t>
  </si>
  <si>
    <t xml:space="preserve"> ¿Cuánto gastó el hogar en los últimos 30 días en Internet y telefonía? &lt;br&gt; &lt;span style="color:red"&gt;Si la persona no sabe escriba 99 o si no quiere responder escriba 88&lt;/span&gt;</t>
  </si>
  <si>
    <t xml:space="preserve"> ¿Cuánto gastó el hogar en los últimos 30 días en Otros? &lt;br&gt; &lt;span style="color:red"&gt;Si la persona no sabe escriba 99 o si no quiere responder escriba 88&lt;/span&gt;</t>
  </si>
  <si>
    <t>audio audit p=100;s=consentimiento;d=agradecimiento</t>
  </si>
  <si>
    <t>audit_2</t>
  </si>
  <si>
    <t>audio audit d=1800</t>
  </si>
  <si>
    <t>audit_3</t>
  </si>
  <si>
    <t>1. Teniendo en cuenta lo anterior, ¿acepta voluntariamente participar en esta encuesta?</t>
  </si>
  <si>
    <t>2. Para continuar, necesito confirmar: ¿Es usted mayor de edad, conoce cómo se manejan los gastos y la alimentación en su hogar, y está al tanto del apoyo que recibieron por parte del programa VenEsperanza?</t>
  </si>
  <si>
    <t>3. Después de haber recibido el apoyo de VenEsperanza, ¿su hogar ha recibido ayudas adicionales en dinero por parte de otra organización, ya sea para gastos del hogar o para fortalecer algún negocio o emprendimiento?"</t>
  </si>
  <si>
    <t>4. ¿Qué organización le dio esta ayuda?</t>
  </si>
  <si>
    <t>5. ¿Por cuántos meses recibió o recibirá esta ayuda?</t>
  </si>
  <si>
    <t>6. Tengo registrado que ustedes vivían en el departamento de ${pull_dpto}. ¿Siguen viviendo allí?</t>
  </si>
  <si>
    <t>7. ¿Siguen viviendo en el municipio de ${pull_mpio}?</t>
  </si>
  <si>
    <t>8. Después de haber recibido el apoyo de VenEsperanza, ¿cuántas veces se ha mudado a otro municipio dentro de Colombia?</t>
  </si>
  <si>
    <t>Centro Poblado (Corregimiento o Caserío)</t>
  </si>
  <si>
    <t>Cabecera Municipal (Casco urbano)</t>
  </si>
  <si>
    <t>Rural Disperso (Campo)</t>
  </si>
  <si>
    <t>9. ¿La zona donde vive actualmente es?</t>
  </si>
  <si>
    <t>10. Este número al que llamamos es su principal medio de contacto. ¿Tiene algún otro número alternativo o WhatsApp donde podamos ubicarlo en el futuro?</t>
  </si>
  <si>
    <t>11. ¿Tiene un correo electrónico activo donde podamos contactarlo?</t>
  </si>
  <si>
    <t>mejor_forma_contacto</t>
  </si>
  <si>
    <t>12. ¿Hay algún horario específico o instrucción especial para poder comunicarnos con usted en el futuro?</t>
  </si>
  <si>
    <t>(Ej: "Llamar después de las 6pm", "Llamar por WhatsApp porque no tengo señal").</t>
  </si>
  <si>
    <t>13.  ¿Cuáles de las siguientes condiciones de cuidado o dependencia se presentan en su hogar?</t>
  </si>
  <si>
    <t>Seleccione todas las que apliquen</t>
  </si>
  <si>
    <t>cuidado_hogar</t>
  </si>
  <si>
    <t>cuidado</t>
  </si>
  <si>
    <t>Personas con discapacidad permanente</t>
  </si>
  <si>
    <t>Menores de edad (Niños, niñas o adolescentes)</t>
  </si>
  <si>
    <t>Adultos mayores</t>
  </si>
  <si>
    <t>Ninguna de los anteriores</t>
  </si>
  <si>
    <t>not(selected(., '4') and count-selected(.) &gt; 1)</t>
  </si>
  <si>
    <t>select_multiple cuidado</t>
  </si>
  <si>
    <t>Si marca "Ninguna de las anteriores" no puede marcar nada más</t>
  </si>
  <si>
    <t>14. Ahora, vamos a confirmar información sobre su hogar &lt;br&gt; Confirmo que el jefe del hogar sigue siendo el Sr./Sra. ${pull_name} ¿Es correcto?</t>
  </si>
  <si>
    <t>15. Tipo de documento de identidad</t>
  </si>
  <si>
    <t>16. Número de documento</t>
  </si>
  <si>
    <t>17. Sexo</t>
  </si>
  <si>
    <t>18. Nacionalidad</t>
  </si>
  <si>
    <t>19. Fecha de nacimiento</t>
  </si>
  <si>
    <t>select_one condicion_migratoria</t>
  </si>
  <si>
    <t>condicion_migratoria</t>
  </si>
  <si>
    <t>Colombiano retornado</t>
  </si>
  <si>
    <t>Migrante Venezolano</t>
  </si>
  <si>
    <t>Pendular (desplazamientos diarios de migrantes del lugar de residencia a sitios de abastecimientos)</t>
  </si>
  <si>
    <t>Poblacion de acogida</t>
  </si>
  <si>
    <t>Migrante con doble nacionalidad venezolana-colombiana</t>
  </si>
  <si>
    <t>Desplazados internos</t>
  </si>
  <si>
    <t>29. ¿Cuál es la condición migratoria del jefe de hogar en el país?</t>
  </si>
  <si>
    <t>30. A continuación, le haré unas preguntas sobre su condición migratoria &lt;br&gt; En los siguientes 12 meses:</t>
  </si>
  <si>
    <t>${condicion_migratoria} = 2 or ${condicion_migratoria} = 3</t>
  </si>
  <si>
    <t>31. ¿Cuál es su estatus migratorio actual?</t>
  </si>
  <si>
    <t>${estatus_migratorio} &lt;= 4 or ( ${condicion_migratoria} != 2 and ${condicion_migratoria} !=  3)</t>
  </si>
  <si>
    <t>32. ¿Cuenta actualmente con encuesta del Sisbén?</t>
  </si>
  <si>
    <t>33. ¿Sabe en qué grupo quedó clasificado?</t>
  </si>
  <si>
    <t>34. ¿Algún miembro de su hogar está asistiendo a un comedor comunitario?</t>
  </si>
  <si>
    <t xml:space="preserve">Jefe del hogar </t>
  </si>
  <si>
    <t xml:space="preserve">Pareja/Cónyuge </t>
  </si>
  <si>
    <t>${toma_decisiones} = 3 or ${toma_decisiones} = 4</t>
  </si>
  <si>
    <t>35. En promedio durante la última semana; ¿Cuántas comidas se han consumido en su hogar por día?</t>
  </si>
  <si>
    <t>36. ¿Usted tiene un lugar donde cocinar los alimentos diarios?</t>
  </si>
  <si>
    <t>37. ¿Quién en su hogar toma las decisiones &lt;b&gt;relacionadas con la alimentación&lt;/b&gt;?</t>
  </si>
  <si>
    <t>38. Me gustaría preguntarle acerca de todos los diferentes alimentos que usted y los miembros de su hogar han comido en &lt;b&gt;los últimos 7 días&lt;/b&gt;&lt;br&gt;
¿Podría decirme cuántos días en la &lt;b&gt;última semana (7 días)&lt;/b&gt; su familia ha comido los siguientes alimentos?
&lt;span style="color:red"&gt;&lt;b&gt;NOTA:&lt;/b&gt;&lt;/span&gt; &lt;i&gt;TENGA EN CUENTA SOLO LA COMIDA PREPARADA EN CASA O QUE REQUIERE UNA INVERSIÓN (ECONÓMICA) POR PARTE DEL HOGAR, EJ: COMIDA EN RESTAURANTES&lt;/i&gt;</t>
  </si>
  <si>
    <t>39. ¿Cuántos días tuvo su hogar que depender de alimentos menos preferidos o más baratos de lo habitual?</t>
  </si>
  <si>
    <t>40. ¿Cuántos días su hogar tuvo que pedir comida prestada o depender de la ayuda de amigos y parientes?</t>
  </si>
  <si>
    <t>41. ¿Cuántos días su hogar tuvo que reducir el tamaño de las porciones de las comidas?</t>
  </si>
  <si>
    <t>42. ¿Cuántos días su hogar tuvo que reducir la cantidad de alimentos consumidos por los adultos para que los niños pequeños pudieran comer?</t>
  </si>
  <si>
    <t>43. ¿Cuántos días tuvo su hogar que reducir el número de comidas que comía al día?</t>
  </si>
  <si>
    <t>44. En los últimos 30 días, ¿hubo algún momento en que no había nada de comida en su casa?</t>
  </si>
  <si>
    <t>45. ¿Cuántas veces ocurrió esto en los últimos 30 días?</t>
  </si>
  <si>
    <t>46. ¿Usted o algún miembro se ha acostado a dormir con hambre porque no había suficiente comida?</t>
  </si>
  <si>
    <t>47. ¿Cuántas veces ocurrió esto en los últimos 30 días?</t>
  </si>
  <si>
    <t>48. ¿Usted o algún miembro ha pasado todo un día y una noche sin comer nada?</t>
  </si>
  <si>
    <t>49. ¿Cuántas veces ocurrió esto en los últimos 30 días?</t>
  </si>
  <si>
    <t>50. En los últimos 3 meses ¿su hogar ha podido satisfacer todas, la mayoría, algunas o ninguna de las necesidades básicas?</t>
  </si>
  <si>
    <t>51. ¿Cuáles son las necesidades básicas que su hogar no puede satisfacer?</t>
  </si>
  <si>
    <t>52.  ¿En el último mes (30 días), alguien en su hogar se vio en la necesidad de hacer alguna de las siguientes actividades debido a que no había suficientes alimentos o dinero para comprar comida?</t>
  </si>
  <si>
    <t>53. Durante su permanencia en Colombia, ¿usted o algún miembro de su familia ha experimentado alguna de las siguientes situaciones de inseguridad o violencia? (Seleccione todas las que apliquen).</t>
  </si>
  <si>
    <t>select_multiple inseguridad</t>
  </si>
  <si>
    <t>Violencia física / abuso</t>
  </si>
  <si>
    <t>Violencia sexual</t>
  </si>
  <si>
    <t>Violencia psicológica (actos de discriminación o xenofobia por etnicidad, nacionalidad o estatus migratorio)</t>
  </si>
  <si>
    <t>Violencia económica (robo, estafa)</t>
  </si>
  <si>
    <t>Acoso sexual</t>
  </si>
  <si>
    <t>Tensiones entre migrantes y comunidades de acogida</t>
  </si>
  <si>
    <t xml:space="preserve"> Violencia basada en género</t>
  </si>
  <si>
    <t>not(selected(., '8') and count-selected(.) &gt; 1)</t>
  </si>
  <si>
    <t>Si selecciona que no ha sentido inseguridad no puede marcar nada más</t>
  </si>
  <si>
    <t>54. Durante su permanencia en el país, ¿se ha sentido discriminado/a por alguno de los siguientes motivos?</t>
  </si>
  <si>
    <t>select_multiple discriminacion</t>
  </si>
  <si>
    <t>Por su nacionalidad</t>
  </si>
  <si>
    <t>Por su edad</t>
  </si>
  <si>
    <t>Por su grupo étnico o color de piel</t>
  </si>
  <si>
    <t>Por ser mujer</t>
  </si>
  <si>
    <t>Por ser hombre</t>
  </si>
  <si>
    <t>Por su religión</t>
  </si>
  <si>
    <t>Por su orientación sexual</t>
  </si>
  <si>
    <t>No hemos sentido ningún tipo de inseguridad o violencia</t>
  </si>
  <si>
    <t>No he sentido discriminación</t>
  </si>
  <si>
    <t>Si selecciona que no ha sentido discriminado no puede marcar nada más</t>
  </si>
  <si>
    <t>55. ¿Quién en el hogar decide cómo usar el dinero (decide sobre los gastos del hogar)?</t>
  </si>
  <si>
    <t>56. ¿A cuál régimen en seguridad social está afiliado el jefe del hogar?</t>
  </si>
  <si>
    <t>57. ¿Cuánto fue el ingreso de su hogar en la última semana?</t>
  </si>
  <si>
    <t>58. ¿Cómo describe sus ingresos?</t>
  </si>
  <si>
    <t>59. ¿Cuál ha sido su principal fuente de ingreso del hogar en la última semana?</t>
  </si>
  <si>
    <t>Otros</t>
  </si>
  <si>
    <t>ingresos_mes</t>
  </si>
  <si>
    <t>. &gt;= ${ingresos_semana}</t>
  </si>
  <si>
    <t>El valor debe ser mayor que el valor de los ingresos de la semana</t>
  </si>
  <si>
    <t>arriendo_servicios</t>
  </si>
  <si>
    <t>¿El arriendo incluye servicios públicos?</t>
  </si>
  <si>
    <t>gasto_internet</t>
  </si>
  <si>
    <t>v_internet</t>
  </si>
  <si>
    <t>${gasto_internet} &gt; 500000</t>
  </si>
  <si>
    <t>${arriendo_servicios} = 0</t>
  </si>
  <si>
    <t>Registrar valor en COP. Si el recibo está en mora, escriba cuál es el valor mensual del servicios</t>
  </si>
  <si>
    <t xml:space="preserve"> ¿Cuánto dinero ahorró en los últimos 30 días? &lt;br&gt; &lt;span style="color:red"&gt;Si la persona no sabe escriba 99 o si no quiere responder escriba 88&lt;/span&gt;</t>
  </si>
  <si>
    <t>gastos_totales_30</t>
  </si>
  <si>
    <t>coalesce(${gasto_alimentos_number}, 0) + coalesce(${gasto_educacion_number}, 0) + coalesce(${gasto_transporte_number}, 0) + coalesce(${gasto_salud_number}, 0) + coalesce(${gasto_arriendo_number}, 0) + coalesce(${gasto_agua_number}, 0) + coalesce(${gasto_energia_number}, 0) + coalesce(${gasto_gas_gasolina_number}, 0) + coalesce(${gasto_carbon_lena_number}, 0) + coalesce(${gasto_internet_number}, 0) + coalesce(${gasto_no_alim_number}, 0) + coalesce(${gasto_prestamos_number}, 0) + coalesce(${gasto_inversion_number}, 0) + coalesce(${gasto_remesas_ven_number}, 0) + coalesce(${gasto_ahorros_number}, 0) + coalesce(${gasto_otros_number}, 0)</t>
  </si>
  <si>
    <t>umbral_alerta_gastos</t>
  </si>
  <si>
    <t>&lt;span style="color:red; font-weight:bold;"&gt;REVISIÓN DE GASTOS:&lt;/span&gt;&lt;br/&gt;
Para ajustar la diferencia, por favor revise los valores ingresados y seleccione cuál desea corregir:&lt;br/&gt;&lt;br/&gt;
• Alimentos: &lt;b&gt;${gasto_alimentos_number}&lt;/b&gt;&lt;br/&gt;
• Educación: &lt;b&gt;${gasto_educacion_number}&lt;/b&gt;&lt;br/&gt;
• Transporte: &lt;b&gt;${gasto_transporte_number}&lt;/b&gt;&lt;br/&gt;
• Salud: &lt;b&gt;${gasto_salud_number}&lt;/b&gt;&lt;br/&gt;
• Arriendo: &lt;b&gt;${gasto_arriendo_number}&lt;/b&gt;&lt;br/&gt;
• Agua: &lt;b&gt;${gasto_agua_number}&lt;/b&gt;&lt;br/&gt;
• Energía: &lt;b&gt;${gasto_energia_number}&lt;/b&gt;&lt;br/&gt;
• Gas/Gasolina: &lt;b&gt;${gasto_gas_gasolina_number}&lt;/b&gt;&lt;br/&gt;
• Carbón/Leña: &lt;b&gt;${gasto_carbon_lena_number}&lt;/b&gt;&lt;br/&gt;
• Internet: &lt;b&gt;${gasto_internet_number}&lt;/b&gt;&lt;br/&gt;
• No alimentarios: &lt;b&gt;${gasto_no_alim_number}&lt;/b&gt;&lt;br/&gt;
• Préstamos: &lt;b&gt;${gasto_prestamos_number}&lt;/b&gt;&lt;br/&gt;
• Inversión: &lt;b&gt;${gasto_inversion_number}&lt;/b&gt;&lt;br/&gt;
• Remesas Ven: &lt;b&gt;${gasto_remesas_ven_number}&lt;/b&gt;&lt;br/&gt;
• Ahorros: &lt;b&gt;${gasto_ahorros_number}&lt;/b&gt;&lt;br/&gt;
• Otros: &lt;b&gt;${gasto_otros_number}&lt;/b&gt;&lt;br/&gt;&lt;br/&gt;
&lt;b&gt;¿Qué rubro desea corregir?&lt;/b&gt;</t>
  </si>
  <si>
    <t>Aquí el encuestador debe leer todos los valores poniendo especial atención a los ceros</t>
  </si>
  <si>
    <t>corregir_cual</t>
  </si>
  <si>
    <t>select_multiple lista_gastos</t>
  </si>
  <si>
    <t>lista_gastos</t>
  </si>
  <si>
    <t>Alimentos</t>
  </si>
  <si>
    <t>Transporte</t>
  </si>
  <si>
    <t>Arriendo</t>
  </si>
  <si>
    <t>Energía</t>
  </si>
  <si>
    <t>Gas y Gasolina</t>
  </si>
  <si>
    <t>Carbón y Leña</t>
  </si>
  <si>
    <t>Internet y Telefonía</t>
  </si>
  <si>
    <t>Artículos no alimentarios</t>
  </si>
  <si>
    <t>Pago de préstamos</t>
  </si>
  <si>
    <t>Inversión</t>
  </si>
  <si>
    <t>Transferencias a Venezuela</t>
  </si>
  <si>
    <t>Ahorros</t>
  </si>
  <si>
    <t>Otros gastos</t>
  </si>
  <si>
    <t>${validacion_gastos} = 0</t>
  </si>
  <si>
    <t>caseid</t>
  </si>
  <si>
    <t>${ingresos_mes_number} * 1.30</t>
  </si>
  <si>
    <t>pulldata('cases', 'Dpto', 'id', ${ID})</t>
  </si>
  <si>
    <t>pulldata('cases', 'label', 'id', ${ID})</t>
  </si>
  <si>
    <t>pulldata('cases', 'socio_name', 'id', ${ID})</t>
  </si>
  <si>
    <t>pulldata('cases', 'fecha_deposito_1', 'id', ${ID})</t>
  </si>
  <si>
    <t>pulldata('cases', 'Mpio', 'id', ${ID})</t>
  </si>
  <si>
    <t>${departamento} = 0</t>
  </si>
  <si>
    <t>dpto_coalesce</t>
  </si>
  <si>
    <t>coalesce(${departamento_corr},${pull_dpto})</t>
  </si>
  <si>
    <t>minimal search('divipola_csv', 'matches', 'Dpto', ${dpto_coalesce})</t>
  </si>
  <si>
    <t>Dado que cambió de residencia  &lt;br&gt; ¿En qué departamento vive actualmente?</t>
  </si>
  <si>
    <t xml:space="preserve"> ${municipio} = 0 or ${departamento} = 0</t>
  </si>
  <si>
    <t>(${departamento} = 0  and ${departamento_corr} != 77) or ${municipio} = 0</t>
  </si>
  <si>
    <t>60. ¿Cuánto fue el ingreso de su hogar en el último mes?  &lt;br&gt;  &lt;span style="color:red"&gt;Si la persona no sabe escriba 99 o si no quiere responder escriba 88&lt;/span&gt;</t>
  </si>
  <si>
    <t>int( pulldata('cases', 'miembros_hogar', 'id', ${ID}))</t>
  </si>
  <si>
    <t>"Buenos días/tardes Sr/Sra  &lt;b&gt;${pull_name}&lt;/b&gt;. Mi nombre es &lt;b&gt;[Nombre]&lt;/b&gt; y trabajo con &lt;b&gt;${socio_pull}&lt;/b&gt;. Nos comunicamos con usted porque su hogar participó en el programa VenEsperanza desde  &lt;b&gt;${fecha_pull}&lt;/b&gt;  con  &lt;b&gt;${socio_pull}&lt;/b&gt; .&lt;br/&gt;&lt;br/&gt;
El motivo de esta llamada es realizar una &lt;b&gt;encuesta de seguimiento&lt;/b&gt; para conocer cómo ha cambiado la situación de su hogar desde que recibió nuestro apoyo. Queremos saber si la ayuda fue útil y cómo se encuentran actualmente su alimentación y economía.&lt;br/&gt;&lt;br/&gt;
La información que usted nos brinde es confidencial y se tratará con fines estrictamente estadísticos y de mejora del programa. Tenga en cuenta que esta entrevista es para evaluar el desempeño de nuestras actividades y &lt;b&gt;NO garantiza la entrega de nuevas ayudas monetarias o de alimentación.&lt;/b&gt;&lt;br/&gt;&lt;br/&gt;
La encuesta dura aprox. 30 minutos. Usted es libre de no responder alguna pregunta o terminar cuando desee."&lt;br/&gt;&lt;br/&gt;
&lt;i&gt;&lt;b&gt;Tratamiento de datos y privacidad:&lt;/b&gt; Tenga en cuenta que esta entrevista puede ser grabada y monitoreada para fines de control de calidad en la recolección de la información. Si tiene alguna duda o desea actualizar sus datos, puede comunicarse a los correos: &lt;b&gt;oherrera@mercycorps.org&lt;/b&gt; y &lt;br&gt; &lt;b&gt;adminproyectomercycorps@equilibriumbdc.com&lt;/b&gt;.&lt;/i&gt;</t>
  </si>
  <si>
    <t>pull_numero_contactos</t>
  </si>
  <si>
    <t>pulldata('cases', 'numero_contactos', 'id', ${ID})</t>
  </si>
  <si>
    <t>push_numero_contactos</t>
  </si>
  <si>
    <t>${pull_numero_contactos} + 1</t>
  </si>
  <si>
    <t>push_estado</t>
  </si>
  <si>
    <t>push_user</t>
  </si>
  <si>
    <t>if(${informante_id} = '1' or ${informante_id_2} = '1', 'Éxito', 
if(${no_acepta} = '1', 'No contesta', 
if(${no_acepta} = '2', 'Número equivocado', 
if(${no_acepta} = '3', 'Número fuera de servicio', 
if(${no_acepta} = '4', 'Pidió reagendamiento', 
if(${no_acepta} = '5' or ${consentimiento} = '0', 'No desea participar', 
if(${no_acepta} = '6', 'Me dio otro número de contacto', '')))))))</t>
  </si>
  <si>
    <t>push_enumerator</t>
  </si>
  <si>
    <t>enumerator_mail</t>
  </si>
  <si>
    <t>pulldata('cases', 'users', 'id', ${ID})</t>
  </si>
  <si>
    <t>tratamiento</t>
  </si>
  <si>
    <t>pulldata('cases', 'grupo', 'id', ${ID})</t>
  </si>
  <si>
    <t>pull_celular</t>
  </si>
  <si>
    <t>coalesce(${nuevo_numero},${pull_celular})</t>
  </si>
  <si>
    <t>audio audit p=100;s=condicion_migratoria;d=agradecimiento</t>
  </si>
  <si>
    <t>fecha_reagendamiento</t>
  </si>
  <si>
    <t>${no_acepta} = 4</t>
  </si>
  <si>
    <t>pulldata('cases', 'nuevo_celular', 'id', ${ID})</t>
  </si>
  <si>
    <t>push_celular</t>
  </si>
  <si>
    <t>Escriba la fecha de reagendamiento</t>
  </si>
  <si>
    <t>&lt;span style="color:red"&gt;&lt;b&gt;¿ESTÁ SEGURO?&lt;/b&gt;&lt;/span&gt; El valor digitado **(${gasto_alimentos})** es mayor a &lt;b&gt;500,000 COP&lt;/b&gt;. &lt;br&gt;&lt;br&gt; Si el valor es correcto, &lt;b&gt;continúe&lt;/b&gt;; de lo contrario, por favor &lt;b&gt;corrija&lt;/b&gt; el monto en la pregunta anterior.</t>
  </si>
  <si>
    <t>&lt;span style="color:red"&gt;&lt;b&gt;¿ESTÁ SEGURO?&lt;/b&gt;&lt;/span&gt; El valor digitado **(${gasto_educacion})** es mayor a &lt;b&gt;500,000 COP&lt;/b&gt;. &lt;br&gt;&lt;br&gt; Si el valor es correcto, &lt;b&gt;continúe&lt;/b&gt;; de lo contrario, por favor &lt;b&gt;corrija&lt;/b&gt; el monto en la pregunta anterior.</t>
  </si>
  <si>
    <t>&lt;span style="color:red"&gt;&lt;b&gt;¿ESTÁ SEGURO?&lt;/b&gt;&lt;/span&gt; El valor digitado **(${gasto_transporte})** es mayor a &lt;b&gt;500,000 COP&lt;/b&gt;. &lt;br&gt;&lt;br&gt; Si el valor es correcto, &lt;b&gt;continúe&lt;/b&gt;; de lo contrario, por favor &lt;b&gt;corrija&lt;/b&gt; el monto en la pregunta anterior.</t>
  </si>
  <si>
    <t>&lt;span style="color:red"&gt;&lt;b&gt;¿ESTÁ SEGURO?&lt;/b&gt;&lt;/span&gt; El valor digitado **(${gasto_salud})** es mayor a &lt;b&gt;500,000 COP&lt;/b&gt;. &lt;br&gt;&lt;br&gt; Si el valor es correcto, &lt;b&gt;continúe&lt;/b&gt;; de lo contrario, por favor &lt;b&gt;corrija&lt;/b&gt; el monto en la pregunta anterior.</t>
  </si>
  <si>
    <t>&lt;span style="color:red"&gt;&lt;b&gt;¿ESTÁ SEGURO?&lt;/b&gt;&lt;/span&gt; El valor digitado **(${gasto_arriendo})** es mayor a &lt;b&gt;500,000 COP&lt;/b&gt;. &lt;br&gt;&lt;br&gt; Si el valor es correcto, &lt;b&gt;continúe&lt;/b&gt;; de lo contrario, por favor &lt;b&gt;corrija&lt;/b&gt; el monto en la pregunta anterior.</t>
  </si>
  <si>
    <t>&lt;span style="color:red"&gt;&lt;b&gt;¿ESTÁ SEGURO?&lt;/b&gt;&lt;/span&gt; El valor digitado **(${gasto_agua})** es mayor a &lt;b&gt;500,000 COP&lt;/b&gt;. &lt;br&gt;&lt;br&gt; Si el valor es correcto, &lt;b&gt;continúe&lt;/b&gt;; de lo contrario, por favor &lt;b&gt;corrija&lt;/b&gt; el monto en la pregunta anterior.</t>
  </si>
  <si>
    <t>&lt;span style="color:red"&gt;&lt;b&gt;¿ESTÁ SEGURO?&lt;/b&gt;&lt;/span&gt; El valor digitado **(${gasto_energia})** es mayor a &lt;b&gt;500,000 COP&lt;/b&gt;. &lt;br&gt;&lt;br&gt; Si el valor es correcto, &lt;b&gt;continúe&lt;/b&gt;; de lo contrario, por favor &lt;b&gt;corrija&lt;/b&gt; el monto en la pregunta anterior.</t>
  </si>
  <si>
    <t>&lt;span style="color:red"&gt;&lt;b&gt;¿ESTÁ SEGURO?&lt;/b&gt;&lt;/span&gt; El valor digitado **(${gasto_gas_gasolina})** es mayor a &lt;b&gt;500,000 COP&lt;/b&gt;. &lt;br&gt;&lt;br&gt; Si el valor es correcto, &lt;b&gt;continúe&lt;/b&gt;; de lo contrario, por favor &lt;b&gt;corrija&lt;/b&gt; el monto en la pregunta anterior.</t>
  </si>
  <si>
    <t>&lt;span style="color:red"&gt;&lt;b&gt;¿ESTÁ SEGURO?&lt;/b&gt;&lt;/span&gt; El valor digitado **(${gasto_carbon_lena})** es mayor a &lt;b&gt;500,000 COP&lt;/b&gt;. &lt;br&gt;&lt;br&gt; Si el valor es correcto, &lt;b&gt;continúe&lt;/b&gt;; de lo contrario, por favor &lt;b&gt;corrija&lt;/b&gt; el monto en la pregunta anterior.</t>
  </si>
  <si>
    <t>&lt;span style="color:red"&gt;&lt;b&gt;¿ESTÁ SEGURO?&lt;/b&gt;&lt;/span&gt; El valor digitado **(${gasto_internet})** es mayor a &lt;b&gt;500,000 COP&lt;/b&gt;. &lt;br&gt;&lt;br&gt; Si el valor es correcto, &lt;b&gt;continúe&lt;/b&gt;; de lo contrario, por favor &lt;b&gt;corrija&lt;/b&gt; el monto en la pregunta anterior.</t>
  </si>
  <si>
    <t>&lt;span style="color:red"&gt;&lt;b&gt;¿ESTÁ SEGURO?&lt;/b&gt;&lt;/span&gt; El valor digitado **(${gasto_no_alim})** es mayor a &lt;b&gt;500,000 COP&lt;/b&gt;. &lt;br&gt;&lt;br&gt; Si el valor es correcto, &lt;b&gt;continúe&lt;/b&gt;; de lo contrario, por favor &lt;b&gt;corrija&lt;/b&gt; el monto en la pregunta anterior.</t>
  </si>
  <si>
    <t>&lt;span style="color:red"&gt;&lt;b&gt;¿ESTÁ SEGURO?&lt;/b&gt;&lt;/span&gt; El valor digitado **(${gasto_prestamos})** es mayor a &lt;b&gt;500,000 COP&lt;/b&gt;. &lt;br&gt;&lt;br&gt; Si el valor es correcto, &lt;b&gt;continúe&lt;/b&gt;; de lo contrario, por favor &lt;b&gt;corrija&lt;/b&gt; el monto en la pregunta anterior.</t>
  </si>
  <si>
    <t>&lt;span style="color:red"&gt;&lt;b&gt;¿ESTÁ SEGURO?&lt;/b&gt;&lt;/span&gt; El valor digitado **(${gasto_inversion})** es mayor a &lt;b&gt;500,000 COP&lt;/b&gt;. &lt;br&gt;&lt;br&gt; Si el valor es correcto, &lt;b&gt;continúe&lt;/b&gt;; de lo contrario, por favor &lt;b&gt;corrija&lt;/b&gt; el monto en la pregunta anterior.</t>
  </si>
  <si>
    <t>&lt;span style="color:red"&gt;&lt;b&gt;¿ESTÁ SEGURO?&lt;/b&gt;&lt;/span&gt; El valor digitado **(${gasto_remesas_ven})** es mayor a &lt;b&gt;500,000 COP&lt;/b&gt;. &lt;br&gt;&lt;br&gt; Si el valor es correcto, &lt;b&gt;continúe&lt;/b&gt;; de lo contrario, por favor &lt;b&gt;corrija&lt;/b&gt; el monto en la pregunta anterior.</t>
  </si>
  <si>
    <t>&lt;span style="color:red"&gt;&lt;b&gt;¿ESTÁ SEGURO?&lt;/b&gt;&lt;/span&gt; El valor digitado **(${gasto_ahorros})** es mayor a &lt;b&gt;500,000 COP&lt;/b&gt;. &lt;br&gt;&lt;br&gt; Si el valor es correcto, &lt;b&gt;continúe&lt;/b&gt;; de lo contrario, por favor &lt;b&gt;corrija&lt;/b&gt; el monto en la pregunta anterior.</t>
  </si>
  <si>
    <t>&lt;span style="color:red"&gt;&lt;b&gt;¿ESTÁ SEGURO?&lt;/b&gt;&lt;/span&gt; El valor digitado **(${gasto_otros})** es mayor a &lt;b&gt;500,000 COP&lt;/b&gt;. &lt;br&gt;&lt;br&gt; Si el valor es correcto, &lt;b&gt;continúe&lt;/b&gt;; de lo contrario, por favor &lt;b&gt;corrija&lt;/b&gt; el monto en la pregunta anterior.</t>
  </si>
  <si>
    <t>if(${informante_id} = '1' or ${informante_id_2} = '1', 'Cerrado exitosamente',
if(${no_acepta} = '5' or ${consentimiento} = '0', 'Cerrado por rechazo',
if(${no_acepta} = '2', 'Cerrado por número equivocado',
if(${push_numero_contactos} = 5 and ${no_acepta} != '4', 'Cerrado por número de contactos', ${enumerator_mail}))))</t>
  </si>
  <si>
    <t>${acepta_llamada} = 1 and ${consentimiento} = 1</t>
  </si>
  <si>
    <t>pulldata('cases', 'cuota', 'id', ${ID})</t>
  </si>
  <si>
    <t>cuota_exitosa</t>
  </si>
  <si>
    <t>pull_cuota_label</t>
  </si>
  <si>
    <t>pull_cuota_levantada</t>
  </si>
  <si>
    <t>pulldata('cuotas', 'encuestas_levantadas', 'cuota', ${pull_cuota_label})</t>
  </si>
  <si>
    <t>pull_cuota_meta</t>
  </si>
  <si>
    <t>pulldata('cuotas', 'meta', 'cuota', ${pull_cuota_label})</t>
  </si>
  <si>
    <t>cuota_sobrepasada</t>
  </si>
  <si>
    <t>&lt;b&gt; ESTE SEGMENTO DE CUOTAS YA FUE COMPLETADO. NO PUEDE REALIZAR ESTA ENCUESTA &lt;b/&gt;</t>
  </si>
  <si>
    <t>${pull_cuota_levantada} &gt;= ${pull_cuota_meta}</t>
  </si>
  <si>
    <t>if( ${informante_id} = '1' or ${informante_id_2} = '1',1,0)</t>
  </si>
  <si>
    <t>${hhs_falta_comida} = 1</t>
  </si>
  <si>
    <t>${hhs_dormir_hambre} = 1</t>
  </si>
  <si>
    <t>${hhs_sin_comer}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</si>
</sst>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b/>
      <u/>
      <sz val="12"/>
      <color rgb="FF000000"/>
      <name val="Calibri"/>
      <family val="2"/>
    </font>
    <font>
      <i/>
      <sz val="12"/>
      <color indexed="8"/>
      <name val="Calibri"/>
      <family val="2"/>
    </font>
    <font>
      <b/>
      <sz val="12"/>
      <color indexed="8"/>
      <name val="Calibri"/>
      <family val="2"/>
    </font>
    <font>
      <u/>
      <sz val="12"/>
      <color indexed="8"/>
      <name val="Calibri"/>
      <family val="2"/>
    </font>
    <font>
      <sz val="12"/>
      <color rgb="FF000000"/>
      <name val="Calibri"/>
      <family val="2"/>
    </font>
    <font>
      <b/>
      <sz val="12"/>
      <color rgb="FF333333"/>
      <name val="Calibri"/>
      <family val="2"/>
      <scheme val="minor"/>
    </font>
    <font>
      <sz val="12"/>
      <color rgb="FF333333"/>
      <name val="Calibri"/>
      <family val="2"/>
      <scheme val="minor"/>
    </font>
    <font>
      <b/>
      <u/>
      <sz val="12"/>
      <color indexed="8"/>
      <name val="Calibri"/>
      <family val="2"/>
    </font>
    <font>
      <sz val="12"/>
      <color theme="1"/>
      <name val="Calibri"/>
      <family val="2"/>
    </font>
    <font>
      <sz val="11"/>
      <color rgb="FF1F1F1F"/>
      <name val="Calibri"/>
      <family val="2"/>
      <scheme val="minor"/>
    </font>
    <font>
      <sz val="12"/>
      <color rgb="FF000000"/>
      <name val="Calibri"/>
      <family val="2"/>
    </font>
    <font>
      <sz val="11"/>
      <color theme="1"/>
      <name val="Aptos Narrow"/>
      <family val="2"/>
    </font>
    <font>
      <b/>
      <sz val="11"/>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rgb="FFDAEEF3"/>
        <bgColor rgb="FF000000"/>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DE9D9"/>
        <bgColor rgb="FF000000"/>
      </patternFill>
    </fill>
  </fills>
  <borders count="1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808080"/>
      </left>
      <right/>
      <top style="thin">
        <color rgb="FF808080"/>
      </top>
      <bottom/>
      <diagonal/>
    </border>
    <border>
      <left/>
      <right style="thin">
        <color rgb="FF808080"/>
      </right>
      <top style="thin">
        <color rgb="FF808080"/>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rgb="FF7F7F7F"/>
      </left>
      <right style="thin">
        <color rgb="FF7F7F7F"/>
      </right>
      <top style="thin">
        <color rgb="FF7F7F7F"/>
      </top>
      <bottom style="thin">
        <color rgb="FF7F7F7F"/>
      </bottom>
      <diagonal/>
    </border>
    <border>
      <left style="medium">
        <color rgb="FF000000"/>
      </left>
      <right style="medium">
        <color rgb="FF000000"/>
      </right>
      <top/>
      <bottom/>
      <diagonal/>
    </border>
    <border>
      <left/>
      <right style="medium">
        <color rgb="FF000000"/>
      </right>
      <top/>
      <bottom/>
      <diagonal/>
    </border>
    <border>
      <left/>
      <right/>
      <top style="medium">
        <color indexed="64"/>
      </top>
      <bottom/>
      <diagonal/>
    </border>
    <border>
      <left/>
      <right/>
      <top/>
      <bottom style="medium">
        <color indexed="64"/>
      </bottom>
      <diagonal/>
    </border>
  </borders>
  <cellStyleXfs count="3">
    <xf numFmtId="0" fontId="0" fillId="0" borderId="0"/>
    <xf numFmtId="0" fontId="2" fillId="0" borderId="0" applyNumberFormat="0" applyFill="0" applyBorder="0" applyAlignment="0" applyProtection="0">
      <alignment vertical="top"/>
      <protection locked="0"/>
    </xf>
    <xf numFmtId="0" fontId="4" fillId="0" borderId="0"/>
  </cellStyleXfs>
  <cellXfs count="72">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0" fontId="0" fillId="0" borderId="0" xfId="0" applyAlignment="1">
      <alignment wrapText="1"/>
    </xf>
    <xf numFmtId="0" fontId="0" fillId="5" borderId="1" xfId="0" applyFill="1" applyBorder="1" applyAlignment="1">
      <alignment horizontal="left" vertical="top" wrapText="1"/>
    </xf>
    <xf numFmtId="0" fontId="0" fillId="5" borderId="1" xfId="0" applyFill="1" applyBorder="1" applyAlignment="1">
      <alignment vertical="top"/>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12" fillId="7" borderId="9" xfId="0" applyFont="1" applyFill="1" applyBorder="1" applyAlignment="1">
      <alignment horizontal="left" vertical="top" wrapText="1"/>
    </xf>
    <xf numFmtId="0" fontId="0" fillId="6" borderId="1" xfId="0" applyFill="1" applyBorder="1" applyAlignment="1">
      <alignment horizontal="center" vertical="top"/>
    </xf>
    <xf numFmtId="0" fontId="0" fillId="3" borderId="1" xfId="0" applyFill="1" applyBorder="1" applyAlignment="1">
      <alignment wrapText="1"/>
    </xf>
    <xf numFmtId="0" fontId="0" fillId="3" borderId="1" xfId="0" applyFill="1" applyBorder="1"/>
    <xf numFmtId="0" fontId="0" fillId="0" borderId="1" xfId="0" applyBorder="1"/>
    <xf numFmtId="0" fontId="13" fillId="3" borderId="1" xfId="0" applyFont="1" applyFill="1" applyBorder="1" applyAlignment="1">
      <alignment horizontal="center"/>
    </xf>
    <xf numFmtId="0" fontId="14" fillId="3" borderId="1" xfId="0" applyFont="1" applyFill="1" applyBorder="1" applyAlignment="1">
      <alignment horizontal="center"/>
    </xf>
    <xf numFmtId="16" fontId="14" fillId="3" borderId="1" xfId="0" applyNumberFormat="1" applyFont="1" applyFill="1" applyBorder="1" applyAlignment="1">
      <alignment horizontal="center"/>
    </xf>
    <xf numFmtId="0" fontId="14"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6" fillId="2" borderId="2" xfId="0" applyFont="1" applyFill="1" applyBorder="1" applyAlignment="1">
      <alignment wrapText="1"/>
    </xf>
    <xf numFmtId="0" fontId="0" fillId="0" borderId="0" xfId="0" applyAlignment="1">
      <alignment horizontal="left"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49" fontId="0" fillId="0" borderId="0" xfId="0" applyNumberFormat="1" applyAlignment="1">
      <alignment horizontal="left" vertical="center" wrapText="1"/>
    </xf>
    <xf numFmtId="49" fontId="5" fillId="2" borderId="1" xfId="0" applyNumberFormat="1" applyFont="1" applyFill="1" applyBorder="1" applyAlignment="1">
      <alignment wrapText="1"/>
    </xf>
    <xf numFmtId="0" fontId="17" fillId="0" borderId="15" xfId="0" applyFont="1" applyBorder="1" applyAlignment="1">
      <alignment horizontal="left" vertical="center" wrapText="1" indent="1" readingOrder="1"/>
    </xf>
    <xf numFmtId="0" fontId="17" fillId="0" borderId="0" xfId="0" applyFont="1" applyAlignment="1">
      <alignment horizontal="left" vertical="center" wrapText="1" indent="1" readingOrder="1"/>
    </xf>
    <xf numFmtId="0" fontId="18" fillId="0" borderId="14" xfId="0" applyFont="1" applyBorder="1" applyAlignment="1">
      <alignment vertical="center"/>
    </xf>
    <xf numFmtId="49" fontId="18" fillId="0" borderId="14" xfId="0" applyNumberFormat="1" applyFont="1" applyBorder="1" applyAlignment="1">
      <alignment vertical="center" wrapText="1"/>
    </xf>
    <xf numFmtId="0" fontId="18" fillId="0" borderId="14" xfId="0" applyFont="1" applyBorder="1" applyAlignment="1">
      <alignment wrapText="1"/>
    </xf>
    <xf numFmtId="0" fontId="18" fillId="0" borderId="14" xfId="0" applyFont="1" applyBorder="1"/>
    <xf numFmtId="0" fontId="18" fillId="0" borderId="0" xfId="0" applyFont="1"/>
    <xf numFmtId="0" fontId="5" fillId="0" borderId="0" xfId="0" applyFont="1" applyAlignment="1">
      <alignment wrapText="1"/>
    </xf>
    <xf numFmtId="49" fontId="18" fillId="0" borderId="0" xfId="0" applyNumberFormat="1" applyFont="1" applyAlignment="1">
      <alignment vertical="center" wrapText="1"/>
    </xf>
    <xf numFmtId="0" fontId="12" fillId="0" borderId="0" xfId="0" applyFont="1"/>
    <xf numFmtId="0" fontId="19" fillId="0" borderId="16" xfId="0" applyFont="1" applyBorder="1"/>
    <xf numFmtId="0" fontId="16" fillId="0" borderId="0" xfId="0" applyFont="1"/>
    <xf numFmtId="0" fontId="0" fillId="0" borderId="17" xfId="0" applyBorder="1"/>
    <xf numFmtId="0" fontId="20" fillId="0" borderId="18" xfId="0" applyFont="1" applyBorder="1"/>
    <xf numFmtId="0" fontId="18" fillId="0" borderId="0" xfId="0" applyFont="1" applyAlignment="1">
      <alignment wrapText="1"/>
    </xf>
    <xf numFmtId="0" fontId="12" fillId="0" borderId="0" xfId="0" applyFont="1" applyAlignment="1">
      <alignment vertical="center"/>
    </xf>
    <xf numFmtId="49" fontId="5" fillId="0" borderId="0" xfId="0" applyNumberFormat="1" applyFont="1" applyAlignment="1">
      <alignment wrapText="1"/>
    </xf>
    <xf numFmtId="49" fontId="12" fillId="0" borderId="0" xfId="0" applyNumberFormat="1" applyFont="1" applyAlignment="1">
      <alignment vertical="center" wrapText="1"/>
    </xf>
    <xf numFmtId="0" fontId="8" fillId="4" borderId="3" xfId="0" applyFont="1" applyFill="1" applyBorder="1" applyAlignment="1">
      <alignment horizontal="left" vertical="center" wrapText="1"/>
    </xf>
    <xf numFmtId="0" fontId="8" fillId="4" borderId="4" xfId="0" applyFont="1" applyFill="1" applyBorder="1" applyAlignment="1">
      <alignment horizontal="left"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left" vertical="center" wrapText="1"/>
    </xf>
    <xf numFmtId="0" fontId="0" fillId="5" borderId="8" xfId="0" applyFill="1" applyBorder="1" applyAlignment="1">
      <alignment horizontal="left" vertical="center" wrapText="1"/>
    </xf>
    <xf numFmtId="0" fontId="11" fillId="6" borderId="1" xfId="0" applyFont="1" applyFill="1" applyBorder="1" applyAlignment="1">
      <alignment horizontal="left"/>
    </xf>
    <xf numFmtId="0" fontId="11" fillId="3" borderId="10" xfId="0" applyFont="1" applyFill="1" applyBorder="1" applyAlignment="1">
      <alignment horizontal="left"/>
    </xf>
    <xf numFmtId="0" fontId="11" fillId="3" borderId="11" xfId="0" applyFont="1" applyFill="1" applyBorder="1" applyAlignment="1">
      <alignment horizontal="left"/>
    </xf>
    <xf numFmtId="0" fontId="15" fillId="5" borderId="12" xfId="0" applyFont="1" applyFill="1" applyBorder="1" applyAlignment="1">
      <alignment horizontal="left" vertical="center" wrapText="1"/>
    </xf>
    <xf numFmtId="0" fontId="15" fillId="5" borderId="13" xfId="0" applyFont="1" applyFill="1" applyBorder="1" applyAlignment="1">
      <alignment horizontal="left" vertical="center" wrapText="1"/>
    </xf>
  </cellXfs>
  <cellStyles count="3">
    <cellStyle name="Hipervínculo" xfId="1" builtinId="8"/>
    <cellStyle name="Normal" xfId="0" builtinId="0"/>
    <cellStyle name="Normal 2" xfId="2" xr:uid="{00000000-0005-0000-0000-000002000000}"/>
  </cellStyles>
  <dxfs count="568">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BFB00"/>
          <bgColor rgb="FFFBFB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rgb="FF93CDDC"/>
          <bgColor rgb="FF93CDDC"/>
        </patternFill>
      </fill>
    </dxf>
    <dxf>
      <fill>
        <patternFill patternType="solid">
          <fgColor rgb="FFFBD4B4"/>
          <bgColor rgb="FFFBD4B4"/>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FF6969"/>
          <bgColor rgb="FFFF6969"/>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2F2F2"/>
          <bgColor rgb="FFF2F2F2"/>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F0000"/>
          <bgColor rgb="FFFF0000"/>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BBBB59"/>
          <bgColor rgb="FFBBBB59"/>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DBE5F1"/>
          <bgColor rgb="FFDBE5F1"/>
        </patternFill>
      </fill>
    </dxf>
    <dxf>
      <fill>
        <patternFill patternType="solid">
          <fgColor rgb="FF99BCE7"/>
          <bgColor rgb="FF99BCE7"/>
        </patternFill>
      </fill>
    </dxf>
    <dxf>
      <fill>
        <patternFill patternType="solid">
          <fgColor rgb="FF92CDDC"/>
          <bgColor rgb="FF92CDDC"/>
        </patternFill>
      </fill>
    </dxf>
    <dxf>
      <fill>
        <patternFill patternType="solid">
          <fgColor rgb="FFFBD4B4"/>
          <bgColor rgb="FFFBD4B4"/>
        </patternFill>
      </fill>
    </dxf>
    <dxf>
      <fill>
        <patternFill patternType="solid">
          <fgColor rgb="FFFFD44B"/>
          <bgColor rgb="FFFFD44B"/>
        </patternFill>
      </fill>
    </dxf>
    <dxf>
      <fill>
        <patternFill patternType="solid">
          <fgColor rgb="FFCCC0D9"/>
          <bgColor rgb="FFCCC0D9"/>
        </patternFill>
      </fill>
    </dxf>
    <dxf>
      <fill>
        <patternFill patternType="solid">
          <fgColor rgb="FFEAF1DD"/>
          <bgColor rgb="FFEAF1DD"/>
        </patternFill>
      </fill>
    </dxf>
    <dxf>
      <fill>
        <patternFill patternType="solid">
          <fgColor rgb="FFF2DBDA"/>
          <bgColor rgb="FFF2DBDA"/>
        </patternFill>
      </fill>
    </dxf>
    <dxf>
      <fill>
        <patternFill patternType="solid">
          <fgColor rgb="FFEAEB74"/>
          <bgColor rgb="FFEAEB74"/>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BB57"/>
          <bgColor rgb="FFFFBB57"/>
        </patternFill>
      </fill>
    </dxf>
    <dxf>
      <fill>
        <patternFill patternType="solid">
          <fgColor rgb="FF4685D2"/>
          <bgColor rgb="FF4685D2"/>
        </patternFill>
      </fill>
    </dxf>
    <dxf>
      <fill>
        <patternFill patternType="solid">
          <fgColor rgb="FFEEB400"/>
          <bgColor rgb="FFEEB400"/>
        </patternFill>
      </fill>
    </dxf>
    <dxf>
      <fill>
        <patternFill patternType="solid">
          <fgColor rgb="FFE4E300"/>
          <bgColor rgb="FFE4E300"/>
        </patternFill>
      </fill>
    </dxf>
    <dxf>
      <fill>
        <patternFill patternType="solid">
          <fgColor rgb="FFFABF8F"/>
          <bgColor rgb="FFFABF8F"/>
        </patternFill>
      </fill>
    </dxf>
    <dxf>
      <fill>
        <patternFill patternType="solid">
          <fgColor rgb="FFD6E3BC"/>
          <bgColor rgb="FFD6E3BC"/>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EEB400"/>
          <bgColor rgb="FFEEB400"/>
        </patternFill>
      </fill>
    </dxf>
    <dxf>
      <fill>
        <patternFill patternType="solid">
          <fgColor rgb="FFFF9900"/>
          <bgColor rgb="FFFF9900"/>
        </patternFill>
      </fill>
    </dxf>
    <dxf>
      <fill>
        <patternFill patternType="solid">
          <fgColor rgb="FFF2F2F2"/>
          <bgColor rgb="FFF2F2F2"/>
        </patternFill>
      </fill>
    </dxf>
    <dxf>
      <fill>
        <patternFill patternType="solid">
          <fgColor rgb="FFFF9900"/>
          <bgColor rgb="FFFF9900"/>
        </patternFill>
      </fill>
    </dxf>
    <dxf>
      <fill>
        <patternFill patternType="solid">
          <fgColor rgb="FFB8CCE4"/>
          <bgColor rgb="FFB8CCE4"/>
        </patternFill>
      </fill>
    </dxf>
    <dxf>
      <fill>
        <patternFill patternType="solid">
          <fgColor rgb="FFBBBB59"/>
          <bgColor rgb="FFBBBB59"/>
        </patternFill>
      </fill>
    </dxf>
    <dxf>
      <fill>
        <patternFill patternType="solid">
          <fgColor theme="8"/>
          <bgColor theme="8"/>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DCC97A"/>
          <bgColor rgb="FFDCC97A"/>
        </patternFill>
      </fill>
    </dxf>
    <dxf>
      <fill>
        <patternFill patternType="solid">
          <fgColor indexed="64"/>
          <bgColor theme="4" tint="0.79998168889431442"/>
        </patternFill>
      </fill>
    </dxf>
    <dxf>
      <fill>
        <patternFill>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92CDDC"/>
          <bgColor rgb="FF92CDDC"/>
        </patternFill>
      </fill>
    </dxf>
    <dxf>
      <fill>
        <patternFill patternType="solid">
          <fgColor rgb="FFFBD4B4"/>
          <bgColor rgb="FFFBD4B4"/>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patternType="solid">
          <fgColor rgb="FFEAEB74"/>
          <bgColor rgb="FFEAEB74"/>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BB57"/>
          <bgColor rgb="FFFFBB57"/>
        </patternFill>
      </fill>
    </dxf>
    <dxf>
      <fill>
        <patternFill patternType="solid">
          <fgColor rgb="FFCCC0D9"/>
          <bgColor rgb="FFCCC0D9"/>
        </patternFill>
      </fill>
    </dxf>
    <dxf>
      <fill>
        <patternFill patternType="solid">
          <fgColor rgb="FFEAF1DD"/>
          <bgColor rgb="FFEAF1DD"/>
        </patternFill>
      </fill>
    </dxf>
    <dxf>
      <fill>
        <patternFill patternType="solid">
          <fgColor rgb="FFF2DBDA"/>
          <bgColor rgb="FFF2DBDA"/>
        </patternFill>
      </fill>
    </dxf>
    <dxf>
      <fill>
        <patternFill patternType="solid">
          <fgColor rgb="FFFFD44B"/>
          <bgColor rgb="FFFFD44B"/>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rgb="FFD8D8D8"/>
          <bgColor rgb="FFD8D8D8"/>
        </patternFill>
      </fill>
    </dxf>
    <dxf>
      <fill>
        <patternFill patternType="solid">
          <fgColor rgb="FFFBFB00"/>
          <bgColor rgb="FFFBFB00"/>
        </patternFill>
      </fill>
    </dxf>
    <dxf>
      <fill>
        <patternFill patternType="solid">
          <fgColor rgb="FFFFC7CE"/>
          <bgColor rgb="FFFFC7CE"/>
        </patternFill>
      </fill>
    </dxf>
    <dxf>
      <fill>
        <patternFill patternType="solid">
          <fgColor rgb="FFFF6969"/>
          <bgColor rgb="FFFF6969"/>
        </patternFill>
      </fill>
    </dxf>
    <dxf>
      <fill>
        <patternFill patternType="solid">
          <fgColor indexed="64"/>
          <bgColor rgb="FFFBFB00"/>
        </patternFill>
      </fill>
    </dxf>
    <dxf>
      <fill>
        <patternFill>
          <bgColor rgb="FFFF6969"/>
        </patternFill>
      </fill>
    </dxf>
    <dxf>
      <fill>
        <patternFill patternType="solid">
          <fgColor rgb="FF4685D2"/>
          <bgColor rgb="FF4685D2"/>
        </patternFill>
      </fill>
    </dxf>
    <dxf>
      <fill>
        <patternFill patternType="solid">
          <fgColor rgb="FFEEB400"/>
          <bgColor rgb="FFEEB400"/>
        </patternFill>
      </fill>
    </dxf>
    <dxf>
      <fill>
        <patternFill patternType="solid">
          <fgColor rgb="FFE4E300"/>
          <bgColor rgb="FFE4E300"/>
        </patternFill>
      </fill>
    </dxf>
    <dxf>
      <fill>
        <patternFill patternType="solid">
          <fgColor rgb="FFFABF8F"/>
          <bgColor rgb="FFFABF8F"/>
        </patternFill>
      </fill>
    </dxf>
    <dxf>
      <fill>
        <patternFill patternType="solid">
          <fgColor rgb="FFD6E3BC"/>
          <bgColor rgb="FFD6E3BC"/>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EEB400"/>
          <bgColor rgb="FFEEB400"/>
        </patternFill>
      </fill>
    </dxf>
    <dxf>
      <fill>
        <patternFill patternType="solid">
          <fgColor rgb="FFFF9900"/>
          <bgColor rgb="FFFF9900"/>
        </patternFill>
      </fill>
    </dxf>
    <dxf>
      <fill>
        <patternFill patternType="solid">
          <fgColor rgb="FFF2F2F2"/>
          <bgColor rgb="FFF2F2F2"/>
        </patternFill>
      </fill>
    </dxf>
    <dxf>
      <fill>
        <patternFill patternType="solid">
          <fgColor rgb="FFFF9900"/>
          <bgColor rgb="FFFF9900"/>
        </patternFill>
      </fill>
    </dxf>
    <dxf>
      <fill>
        <patternFill patternType="solid">
          <fgColor rgb="FFB8CCE4"/>
          <bgColor rgb="FFB8CCE4"/>
        </patternFill>
      </fill>
    </dxf>
    <dxf>
      <fill>
        <patternFill patternType="solid">
          <fgColor rgb="FFBBBB59"/>
          <bgColor rgb="FFBBBB59"/>
        </patternFill>
      </fill>
    </dxf>
    <dxf>
      <fill>
        <patternFill patternType="solid">
          <fgColor theme="8"/>
          <bgColor theme="8"/>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DCC97A"/>
          <bgColor rgb="FFDCC97A"/>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rgb="FFFF99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patternType="solid">
          <fgColor indexed="64"/>
          <bgColor rgb="FFE4E300"/>
        </patternFill>
      </fill>
    </dxf>
    <dxf>
      <fill>
        <patternFill>
          <bgColor rgb="FFEEB400"/>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patternType="solid">
          <fgColor indexed="64"/>
          <bgColor theme="6" tint="0.59999389629810485"/>
        </patternFill>
      </fill>
    </dxf>
    <dxf>
      <fill>
        <patternFill>
          <bgColor rgb="FFFF00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030A0"/>
      <color rgb="FFB1A0C7"/>
      <color rgb="FFE0A5A4"/>
      <color rgb="FFC2514E"/>
      <color rgb="FFE6B9B8"/>
      <color rgb="FFCC706E"/>
      <color rgb="FFFFB3CC"/>
      <color rgb="FFFF6D9E"/>
      <color rgb="FFF2DBDA"/>
      <color rgb="FFE1AA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26"/>
  <sheetViews>
    <sheetView tabSelected="1" workbookViewId="0">
      <pane ySplit="1" topLeftCell="A218" activePane="bottomLeft" state="frozen"/>
      <selection pane="bottomLeft" activeCell="A219" sqref="A219:XFD234"/>
    </sheetView>
  </sheetViews>
  <sheetFormatPr baseColWidth="10" defaultColWidth="11" defaultRowHeight="15.75"/>
  <cols>
    <col min="1" max="1" width="29" style="8" customWidth="1"/>
    <col min="2" max="2" width="23" style="8" bestFit="1" customWidth="1"/>
    <col min="3" max="3" width="30.5" style="9" bestFit="1" customWidth="1"/>
    <col min="4" max="4" width="22.625" style="8" customWidth="1"/>
    <col min="5" max="5" width="7.125" style="8" bestFit="1" customWidth="1"/>
    <col min="6" max="6" width="12.625" style="8" customWidth="1"/>
    <col min="7" max="7" width="17.125" style="8" customWidth="1"/>
    <col min="8" max="8" width="17" style="10" bestFit="1" customWidth="1"/>
    <col min="9" max="9" width="17.375" style="8" customWidth="1"/>
    <col min="10" max="10" width="8.125" style="8" bestFit="1" customWidth="1"/>
    <col min="11" max="11" width="8.375" style="8" bestFit="1" customWidth="1"/>
    <col min="12" max="12" width="18" style="8" customWidth="1"/>
    <col min="13" max="13" width="9.125" style="8" bestFit="1" customWidth="1"/>
    <col min="14" max="14" width="40.125" style="8" bestFit="1" customWidth="1"/>
    <col min="15" max="15" width="14.875" style="8" bestFit="1" customWidth="1"/>
    <col min="16" max="16" width="12" style="8" bestFit="1" customWidth="1"/>
    <col min="17" max="17" width="11.625" style="8" bestFit="1" customWidth="1"/>
    <col min="18" max="18" width="11.5" style="8" bestFit="1" customWidth="1"/>
    <col min="19" max="20" width="48" style="8" customWidth="1"/>
    <col min="21" max="16384" width="11" style="2"/>
  </cols>
  <sheetData>
    <row r="1" spans="1:26" s="3" customFormat="1" ht="18" customHeight="1">
      <c r="A1" s="5" t="s">
        <v>1</v>
      </c>
      <c r="B1" s="5" t="s">
        <v>2</v>
      </c>
      <c r="C1" s="42" t="s">
        <v>22</v>
      </c>
      <c r="D1" s="5" t="s">
        <v>5</v>
      </c>
      <c r="E1" s="5" t="s">
        <v>3</v>
      </c>
      <c r="F1" s="6" t="s">
        <v>6</v>
      </c>
      <c r="G1" s="5" t="s">
        <v>7</v>
      </c>
      <c r="H1" s="7" t="s">
        <v>35</v>
      </c>
      <c r="I1" s="5" t="s">
        <v>8</v>
      </c>
      <c r="J1" s="5" t="s">
        <v>14</v>
      </c>
      <c r="K1" s="5" t="s">
        <v>9</v>
      </c>
      <c r="L1" s="5" t="s">
        <v>34</v>
      </c>
      <c r="M1" s="5" t="s">
        <v>10</v>
      </c>
      <c r="N1" s="5" t="s">
        <v>13</v>
      </c>
      <c r="O1" s="5" t="s">
        <v>33</v>
      </c>
      <c r="P1" s="5" t="s">
        <v>4</v>
      </c>
      <c r="Q1" s="5" t="s">
        <v>11</v>
      </c>
      <c r="R1" s="5" t="s">
        <v>12</v>
      </c>
      <c r="S1" s="5" t="s">
        <v>36</v>
      </c>
      <c r="T1" s="5" t="s">
        <v>47</v>
      </c>
    </row>
    <row r="2" spans="1:26">
      <c r="A2" s="8" t="s">
        <v>27</v>
      </c>
      <c r="B2" s="8" t="s">
        <v>15</v>
      </c>
      <c r="I2" s="10"/>
      <c r="J2" s="10"/>
    </row>
    <row r="3" spans="1:26" ht="18.75" customHeight="1">
      <c r="A3" s="8" t="s">
        <v>28</v>
      </c>
      <c r="B3" s="8" t="s">
        <v>16</v>
      </c>
    </row>
    <row r="4" spans="1:26">
      <c r="A4" s="8" t="s">
        <v>29</v>
      </c>
      <c r="B4" s="8" t="s">
        <v>0</v>
      </c>
      <c r="I4" s="10"/>
      <c r="J4" s="10"/>
    </row>
    <row r="5" spans="1:26" customFormat="1" ht="15.75" customHeight="1">
      <c r="A5" s="45" t="s">
        <v>41</v>
      </c>
      <c r="B5" s="45" t="s">
        <v>309</v>
      </c>
      <c r="C5" s="46"/>
      <c r="D5" s="47"/>
      <c r="E5" s="48"/>
      <c r="F5" s="48"/>
      <c r="G5" s="47"/>
      <c r="H5" s="47"/>
      <c r="I5" s="47" t="s">
        <v>310</v>
      </c>
      <c r="J5" s="47" t="s">
        <v>310</v>
      </c>
      <c r="K5" s="48"/>
      <c r="L5" s="48"/>
      <c r="M5" s="48"/>
      <c r="N5" s="48" t="s">
        <v>311</v>
      </c>
      <c r="O5" s="48"/>
      <c r="P5" s="48"/>
      <c r="Q5" s="48"/>
      <c r="R5" s="48"/>
      <c r="S5" s="48"/>
      <c r="T5" s="48"/>
      <c r="U5" s="48"/>
      <c r="V5" s="48"/>
      <c r="W5" s="48"/>
      <c r="X5" s="49"/>
      <c r="Y5" s="49"/>
      <c r="Z5" s="49"/>
    </row>
    <row r="6" spans="1:26" customFormat="1" ht="15.75" customHeight="1">
      <c r="A6" s="45" t="s">
        <v>41</v>
      </c>
      <c r="B6" s="45" t="s">
        <v>312</v>
      </c>
      <c r="C6" s="46"/>
      <c r="D6" s="47"/>
      <c r="E6" s="48"/>
      <c r="F6" s="48"/>
      <c r="G6" s="47"/>
      <c r="H6" s="47"/>
      <c r="I6" s="47" t="s">
        <v>310</v>
      </c>
      <c r="J6" s="47" t="s">
        <v>310</v>
      </c>
      <c r="K6" s="48"/>
      <c r="L6" s="48"/>
      <c r="M6" s="48"/>
      <c r="N6" s="48" t="s">
        <v>313</v>
      </c>
      <c r="O6" s="48"/>
      <c r="P6" s="48"/>
      <c r="Q6" s="48"/>
      <c r="R6" s="48"/>
      <c r="S6" s="48"/>
      <c r="T6" s="48"/>
      <c r="U6" s="48"/>
      <c r="V6" s="48"/>
      <c r="W6" s="48"/>
      <c r="X6" s="49"/>
      <c r="Y6" s="49"/>
      <c r="Z6" s="49"/>
    </row>
    <row r="7" spans="1:26" customFormat="1" ht="15.75" customHeight="1">
      <c r="A7" s="45" t="s">
        <v>335</v>
      </c>
      <c r="B7" s="45" t="s">
        <v>335</v>
      </c>
      <c r="C7" s="46"/>
      <c r="D7" s="47"/>
      <c r="E7" s="48"/>
      <c r="F7" s="48"/>
      <c r="G7" s="47"/>
      <c r="H7" s="47"/>
      <c r="I7" s="47" t="s">
        <v>310</v>
      </c>
      <c r="J7" s="47" t="s">
        <v>310</v>
      </c>
      <c r="K7" s="48"/>
      <c r="L7" s="48"/>
      <c r="M7" s="48"/>
      <c r="N7" s="48"/>
      <c r="O7" s="48"/>
      <c r="P7" s="48"/>
      <c r="Q7" s="48"/>
      <c r="R7" s="48"/>
      <c r="S7" s="48"/>
      <c r="T7" s="48"/>
      <c r="U7" s="48"/>
      <c r="V7" s="48"/>
      <c r="W7" s="48"/>
      <c r="X7" s="49"/>
      <c r="Y7" s="49"/>
      <c r="Z7" s="49"/>
    </row>
    <row r="8" spans="1:26" customFormat="1" ht="15.75" customHeight="1">
      <c r="A8" s="58" t="s">
        <v>903</v>
      </c>
      <c r="B8" s="58" t="s">
        <v>314</v>
      </c>
      <c r="C8" s="51"/>
      <c r="D8" s="57"/>
      <c r="E8" s="49"/>
      <c r="F8" s="49"/>
      <c r="G8" s="57"/>
      <c r="H8" s="57"/>
      <c r="I8" s="57"/>
      <c r="J8" s="57"/>
      <c r="K8" s="49"/>
      <c r="L8" s="49"/>
      <c r="M8" s="49"/>
      <c r="N8" s="49"/>
      <c r="O8" s="49"/>
      <c r="P8" s="49"/>
      <c r="Q8" s="49"/>
      <c r="R8" s="49"/>
      <c r="S8" s="49"/>
      <c r="T8" s="49"/>
      <c r="U8" s="49"/>
      <c r="V8" s="49"/>
      <c r="W8" s="49"/>
      <c r="X8" s="49"/>
      <c r="Y8" s="49"/>
      <c r="Z8" s="49"/>
    </row>
    <row r="9" spans="1:26">
      <c r="A9" s="8" t="s">
        <v>41</v>
      </c>
      <c r="B9" s="8" t="s">
        <v>315</v>
      </c>
      <c r="I9" s="10"/>
      <c r="J9" s="10"/>
      <c r="N9" s="8" t="s">
        <v>906</v>
      </c>
    </row>
    <row r="10" spans="1:26">
      <c r="A10" s="8" t="s">
        <v>41</v>
      </c>
      <c r="B10" s="8" t="s">
        <v>732</v>
      </c>
      <c r="I10" s="50"/>
      <c r="J10" s="10"/>
      <c r="N10" s="8" t="s">
        <v>907</v>
      </c>
    </row>
    <row r="11" spans="1:26">
      <c r="A11" s="8" t="s">
        <v>41</v>
      </c>
      <c r="B11" s="8" t="s">
        <v>733</v>
      </c>
      <c r="I11" s="50"/>
      <c r="J11" s="10"/>
      <c r="N11" s="8" t="s">
        <v>908</v>
      </c>
    </row>
    <row r="12" spans="1:26">
      <c r="A12" s="8" t="s">
        <v>41</v>
      </c>
      <c r="B12" s="8" t="s">
        <v>920</v>
      </c>
      <c r="C12" s="59"/>
      <c r="I12" s="50"/>
      <c r="J12" s="10"/>
      <c r="N12" s="8" t="s">
        <v>921</v>
      </c>
    </row>
    <row r="13" spans="1:26">
      <c r="A13" s="8" t="s">
        <v>41</v>
      </c>
      <c r="B13" s="8" t="s">
        <v>922</v>
      </c>
      <c r="C13" s="59"/>
      <c r="I13" s="50"/>
      <c r="J13" s="10"/>
      <c r="N13" s="8" t="s">
        <v>923</v>
      </c>
    </row>
    <row r="14" spans="1:26">
      <c r="A14" s="8" t="s">
        <v>41</v>
      </c>
      <c r="B14" s="8" t="s">
        <v>928</v>
      </c>
      <c r="C14" s="59"/>
      <c r="I14" s="50"/>
      <c r="J14" s="10"/>
      <c r="N14" s="8" t="s">
        <v>929</v>
      </c>
    </row>
    <row r="15" spans="1:26">
      <c r="A15" s="8" t="s">
        <v>41</v>
      </c>
      <c r="B15" s="8" t="s">
        <v>930</v>
      </c>
      <c r="C15" s="59"/>
      <c r="I15" s="50"/>
      <c r="J15" s="10"/>
      <c r="N15" s="8" t="s">
        <v>931</v>
      </c>
    </row>
    <row r="16" spans="1:26">
      <c r="A16" s="8" t="s">
        <v>41</v>
      </c>
      <c r="B16" s="8" t="s">
        <v>960</v>
      </c>
      <c r="C16" s="59"/>
      <c r="I16" s="50"/>
      <c r="J16" s="10"/>
      <c r="N16" s="8" t="s">
        <v>958</v>
      </c>
    </row>
    <row r="17" spans="1:14">
      <c r="A17" s="8" t="s">
        <v>41</v>
      </c>
      <c r="B17" s="8" t="s">
        <v>961</v>
      </c>
      <c r="C17" s="59"/>
      <c r="I17" s="50"/>
      <c r="J17" s="10"/>
      <c r="N17" s="8" t="s">
        <v>962</v>
      </c>
    </row>
    <row r="18" spans="1:14">
      <c r="A18" s="8" t="s">
        <v>41</v>
      </c>
      <c r="B18" s="8" t="s">
        <v>963</v>
      </c>
      <c r="C18" s="59"/>
      <c r="I18" s="50"/>
      <c r="J18" s="10"/>
      <c r="N18" s="8" t="s">
        <v>964</v>
      </c>
    </row>
    <row r="19" spans="1:14" ht="47.25">
      <c r="A19" s="8" t="s">
        <v>36</v>
      </c>
      <c r="B19" s="8" t="s">
        <v>965</v>
      </c>
      <c r="C19" s="59" t="s">
        <v>966</v>
      </c>
      <c r="I19" s="50" t="s">
        <v>967</v>
      </c>
      <c r="J19" s="10"/>
      <c r="K19" s="8" t="s">
        <v>38</v>
      </c>
    </row>
    <row r="20" spans="1:14">
      <c r="A20" s="8" t="s">
        <v>39</v>
      </c>
      <c r="B20" s="8" t="s">
        <v>326</v>
      </c>
      <c r="C20" s="51"/>
      <c r="I20" s="10"/>
      <c r="J20" s="10"/>
    </row>
    <row r="21" spans="1:14" ht="409.5">
      <c r="A21" s="8" t="s">
        <v>36</v>
      </c>
      <c r="B21" s="8" t="s">
        <v>290</v>
      </c>
      <c r="C21" s="9" t="s">
        <v>919</v>
      </c>
      <c r="I21" s="10"/>
      <c r="J21" s="10"/>
    </row>
    <row r="22" spans="1:14" ht="47.25">
      <c r="A22" s="8" t="s">
        <v>291</v>
      </c>
      <c r="B22" s="8" t="s">
        <v>316</v>
      </c>
      <c r="C22" s="51" t="s">
        <v>317</v>
      </c>
      <c r="I22" s="10"/>
      <c r="J22" s="10"/>
      <c r="K22" s="8" t="s">
        <v>38</v>
      </c>
    </row>
    <row r="23" spans="1:14" ht="45">
      <c r="A23" s="8" t="s">
        <v>296</v>
      </c>
      <c r="B23" s="8" t="s">
        <v>299</v>
      </c>
      <c r="C23" s="43" t="s">
        <v>770</v>
      </c>
      <c r="I23" s="10" t="s">
        <v>328</v>
      </c>
      <c r="K23" s="8" t="s">
        <v>38</v>
      </c>
    </row>
    <row r="24" spans="1:14" ht="110.25">
      <c r="A24" s="8" t="s">
        <v>291</v>
      </c>
      <c r="B24" s="8" t="s">
        <v>295</v>
      </c>
      <c r="C24" s="9" t="s">
        <v>771</v>
      </c>
      <c r="I24" s="10" t="s">
        <v>957</v>
      </c>
      <c r="K24" s="8" t="s">
        <v>38</v>
      </c>
    </row>
    <row r="25" spans="1:14">
      <c r="A25" s="8" t="s">
        <v>46</v>
      </c>
      <c r="B25" s="8" t="s">
        <v>326</v>
      </c>
      <c r="C25" s="51"/>
      <c r="I25" s="10"/>
      <c r="J25" s="10"/>
    </row>
    <row r="26" spans="1:14" ht="31.5">
      <c r="A26" s="8" t="s">
        <v>291</v>
      </c>
      <c r="B26" s="8" t="s">
        <v>330</v>
      </c>
      <c r="C26" s="51" t="s">
        <v>329</v>
      </c>
      <c r="I26" s="10" t="s">
        <v>331</v>
      </c>
      <c r="J26" s="10"/>
      <c r="K26" s="8" t="s">
        <v>38</v>
      </c>
    </row>
    <row r="27" spans="1:14" ht="63">
      <c r="A27" s="8" t="s">
        <v>318</v>
      </c>
      <c r="B27" s="8" t="s">
        <v>319</v>
      </c>
      <c r="C27" s="51" t="s">
        <v>333</v>
      </c>
      <c r="I27" s="10" t="s">
        <v>724</v>
      </c>
      <c r="J27" s="10"/>
      <c r="K27" s="8" t="s">
        <v>38</v>
      </c>
    </row>
    <row r="28" spans="1:14" ht="173.25">
      <c r="A28" s="8" t="s">
        <v>41</v>
      </c>
      <c r="B28" s="8" t="s">
        <v>924</v>
      </c>
      <c r="C28" s="51"/>
      <c r="I28" s="10"/>
      <c r="J28" s="10"/>
      <c r="N28" s="10" t="s">
        <v>926</v>
      </c>
    </row>
    <row r="29" spans="1:14" ht="31.5">
      <c r="A29" s="8" t="s">
        <v>41</v>
      </c>
      <c r="B29" s="8" t="s">
        <v>959</v>
      </c>
      <c r="C29" s="51"/>
      <c r="I29" s="10"/>
      <c r="J29" s="10"/>
      <c r="N29" s="10" t="s">
        <v>968</v>
      </c>
    </row>
    <row r="30" spans="1:14" ht="141.75">
      <c r="A30" s="8" t="s">
        <v>41</v>
      </c>
      <c r="B30" s="8" t="s">
        <v>925</v>
      </c>
      <c r="C30" s="51"/>
      <c r="I30" s="10"/>
      <c r="J30" s="10"/>
      <c r="N30" s="10" t="s">
        <v>956</v>
      </c>
    </row>
    <row r="31" spans="1:14" ht="141.75">
      <c r="A31" s="8" t="s">
        <v>41</v>
      </c>
      <c r="B31" s="8" t="s">
        <v>927</v>
      </c>
      <c r="C31" s="51"/>
      <c r="I31" s="10"/>
      <c r="J31" s="10"/>
      <c r="N31" s="10" t="s">
        <v>956</v>
      </c>
    </row>
    <row r="32" spans="1:14">
      <c r="A32" s="8" t="s">
        <v>41</v>
      </c>
      <c r="B32" s="8" t="s">
        <v>932</v>
      </c>
      <c r="C32" s="51"/>
      <c r="I32" s="10"/>
      <c r="J32" s="10"/>
      <c r="N32" s="8" t="s">
        <v>937</v>
      </c>
    </row>
    <row r="33" spans="1:14" ht="31.5">
      <c r="A33" s="8" t="s">
        <v>43</v>
      </c>
      <c r="B33" s="8" t="s">
        <v>737</v>
      </c>
      <c r="C33" s="51" t="s">
        <v>738</v>
      </c>
      <c r="I33" s="10" t="s">
        <v>739</v>
      </c>
      <c r="J33" s="10"/>
      <c r="K33" s="8" t="s">
        <v>38</v>
      </c>
    </row>
    <row r="34" spans="1:14">
      <c r="A34" s="8" t="s">
        <v>41</v>
      </c>
      <c r="B34" s="8" t="s">
        <v>938</v>
      </c>
      <c r="C34" s="51"/>
      <c r="I34" s="10"/>
      <c r="J34" s="10"/>
      <c r="N34" s="8" t="s">
        <v>933</v>
      </c>
    </row>
    <row r="35" spans="1:14">
      <c r="A35" s="8" t="s">
        <v>132</v>
      </c>
      <c r="B35" s="8" t="s">
        <v>935</v>
      </c>
      <c r="C35" s="60" t="s">
        <v>939</v>
      </c>
      <c r="I35" s="10" t="s">
        <v>936</v>
      </c>
      <c r="J35" s="10"/>
      <c r="K35" s="8" t="s">
        <v>38</v>
      </c>
    </row>
    <row r="36" spans="1:14" ht="94.5">
      <c r="A36" s="8" t="s">
        <v>39</v>
      </c>
      <c r="B36" s="8" t="s">
        <v>308</v>
      </c>
      <c r="C36" s="51"/>
      <c r="I36" s="10" t="s">
        <v>332</v>
      </c>
      <c r="J36" s="10"/>
    </row>
    <row r="37" spans="1:14">
      <c r="A37" s="8" t="s">
        <v>157</v>
      </c>
      <c r="B37" s="8" t="s">
        <v>729</v>
      </c>
      <c r="C37" s="51"/>
      <c r="F37" s="8" t="s">
        <v>766</v>
      </c>
      <c r="I37" s="10"/>
      <c r="J37" s="10"/>
    </row>
    <row r="38" spans="1:14">
      <c r="A38" s="8" t="s">
        <v>157</v>
      </c>
      <c r="B38" s="8" t="s">
        <v>767</v>
      </c>
      <c r="C38" s="51"/>
      <c r="F38" s="8" t="s">
        <v>934</v>
      </c>
      <c r="I38" s="10"/>
      <c r="J38" s="10"/>
    </row>
    <row r="39" spans="1:14">
      <c r="A39" s="8" t="s">
        <v>157</v>
      </c>
      <c r="B39" s="8" t="s">
        <v>769</v>
      </c>
      <c r="C39" s="51"/>
      <c r="F39" s="8" t="s">
        <v>768</v>
      </c>
      <c r="I39" s="10"/>
      <c r="J39" s="10"/>
    </row>
    <row r="40" spans="1:14" ht="105">
      <c r="A40" s="8" t="s">
        <v>291</v>
      </c>
      <c r="B40" s="8" t="s">
        <v>303</v>
      </c>
      <c r="C40" s="44" t="s">
        <v>772</v>
      </c>
      <c r="I40" s="8" t="s">
        <v>306</v>
      </c>
      <c r="K40" s="8" t="s">
        <v>38</v>
      </c>
    </row>
    <row r="41" spans="1:14" ht="30">
      <c r="A41" s="8" t="s">
        <v>43</v>
      </c>
      <c r="B41" s="8" t="s">
        <v>433</v>
      </c>
      <c r="C41" s="44" t="s">
        <v>773</v>
      </c>
      <c r="D41" s="8" t="s">
        <v>304</v>
      </c>
      <c r="I41" s="8" t="s">
        <v>307</v>
      </c>
      <c r="K41" s="8" t="s">
        <v>38</v>
      </c>
    </row>
    <row r="42" spans="1:14" ht="30">
      <c r="A42" s="8" t="s">
        <v>45</v>
      </c>
      <c r="B42" s="8" t="s">
        <v>305</v>
      </c>
      <c r="C42" s="44" t="s">
        <v>774</v>
      </c>
      <c r="I42" s="8" t="s">
        <v>307</v>
      </c>
      <c r="K42" s="8" t="s">
        <v>38</v>
      </c>
    </row>
    <row r="43" spans="1:14">
      <c r="A43" s="8" t="s">
        <v>46</v>
      </c>
      <c r="B43" s="8" t="s">
        <v>308</v>
      </c>
      <c r="C43" s="44"/>
    </row>
    <row r="44" spans="1:14">
      <c r="A44" s="8" t="s">
        <v>39</v>
      </c>
      <c r="B44" s="8" t="s">
        <v>292</v>
      </c>
      <c r="I44" s="8" t="s">
        <v>334</v>
      </c>
    </row>
    <row r="45" spans="1:14">
      <c r="A45" s="8" t="s">
        <v>153</v>
      </c>
      <c r="B45" s="8" t="s">
        <v>722</v>
      </c>
      <c r="N45" s="54" t="s">
        <v>696</v>
      </c>
    </row>
    <row r="46" spans="1:14">
      <c r="A46" s="8" t="s">
        <v>39</v>
      </c>
      <c r="B46" s="8" t="s">
        <v>336</v>
      </c>
    </row>
    <row r="47" spans="1:14">
      <c r="A47" s="8" t="s">
        <v>153</v>
      </c>
      <c r="B47" s="8" t="s">
        <v>695</v>
      </c>
      <c r="N47" s="54" t="s">
        <v>696</v>
      </c>
    </row>
    <row r="48" spans="1:14">
      <c r="A48" s="8" t="s">
        <v>41</v>
      </c>
      <c r="B48" s="8" t="s">
        <v>338</v>
      </c>
      <c r="N48" s="8" t="s">
        <v>905</v>
      </c>
    </row>
    <row r="49" spans="1:14">
      <c r="A49" s="8" t="s">
        <v>41</v>
      </c>
      <c r="B49" s="8" t="s">
        <v>339</v>
      </c>
      <c r="N49" s="8" t="s">
        <v>909</v>
      </c>
    </row>
    <row r="50" spans="1:14" ht="47.25">
      <c r="A50" s="8" t="s">
        <v>291</v>
      </c>
      <c r="B50" s="8" t="s">
        <v>337</v>
      </c>
      <c r="C50" s="9" t="s">
        <v>775</v>
      </c>
      <c r="K50" s="8" t="s">
        <v>38</v>
      </c>
    </row>
    <row r="51" spans="1:14" ht="31.5">
      <c r="A51" s="8" t="s">
        <v>291</v>
      </c>
      <c r="B51" s="8" t="s">
        <v>340</v>
      </c>
      <c r="C51" s="9" t="s">
        <v>776</v>
      </c>
      <c r="I51" s="8" t="s">
        <v>725</v>
      </c>
      <c r="K51" s="8" t="s">
        <v>38</v>
      </c>
    </row>
    <row r="52" spans="1:14" ht="47.25">
      <c r="A52" s="8" t="s">
        <v>341</v>
      </c>
      <c r="B52" s="8" t="s">
        <v>342</v>
      </c>
      <c r="C52" s="9" t="s">
        <v>914</v>
      </c>
      <c r="F52" s="49" t="s">
        <v>343</v>
      </c>
      <c r="I52" s="8" t="s">
        <v>910</v>
      </c>
      <c r="K52" s="8" t="s">
        <v>38</v>
      </c>
    </row>
    <row r="53" spans="1:14">
      <c r="A53" s="8" t="s">
        <v>41</v>
      </c>
      <c r="B53" s="8" t="s">
        <v>911</v>
      </c>
      <c r="F53" s="49"/>
      <c r="N53" s="8" t="s">
        <v>912</v>
      </c>
    </row>
    <row r="54" spans="1:14" ht="31.5">
      <c r="A54" s="8" t="s">
        <v>345</v>
      </c>
      <c r="B54" s="8" t="s">
        <v>346</v>
      </c>
      <c r="C54" s="9" t="s">
        <v>347</v>
      </c>
      <c r="F54" s="52" t="s">
        <v>913</v>
      </c>
      <c r="I54" s="8" t="s">
        <v>916</v>
      </c>
      <c r="K54" s="8" t="s">
        <v>38</v>
      </c>
    </row>
    <row r="55" spans="1:14" ht="63">
      <c r="A55" s="8" t="s">
        <v>45</v>
      </c>
      <c r="B55" s="8" t="s">
        <v>348</v>
      </c>
      <c r="C55" s="9" t="s">
        <v>777</v>
      </c>
      <c r="D55" s="8" t="s">
        <v>349</v>
      </c>
      <c r="I55" s="8" t="s">
        <v>915</v>
      </c>
      <c r="K55" s="8" t="s">
        <v>38</v>
      </c>
    </row>
    <row r="56" spans="1:14" ht="31.5">
      <c r="A56" s="8" t="s">
        <v>350</v>
      </c>
      <c r="B56" s="8" t="s">
        <v>352</v>
      </c>
      <c r="C56" s="9" t="s">
        <v>781</v>
      </c>
      <c r="K56" s="8" t="s">
        <v>38</v>
      </c>
    </row>
    <row r="57" spans="1:14" ht="78.75">
      <c r="A57" s="8" t="s">
        <v>291</v>
      </c>
      <c r="B57" s="8" t="s">
        <v>353</v>
      </c>
      <c r="C57" s="9" t="s">
        <v>782</v>
      </c>
      <c r="K57" s="8" t="s">
        <v>38</v>
      </c>
    </row>
    <row r="58" spans="1:14" ht="31.5">
      <c r="A58" s="8" t="s">
        <v>43</v>
      </c>
      <c r="B58" s="8" t="s">
        <v>354</v>
      </c>
      <c r="C58" s="9" t="s">
        <v>355</v>
      </c>
      <c r="D58" s="8" t="s">
        <v>741</v>
      </c>
      <c r="I58" s="8" t="s">
        <v>726</v>
      </c>
      <c r="K58" s="8" t="s">
        <v>38</v>
      </c>
    </row>
    <row r="59" spans="1:14" ht="31.5">
      <c r="A59" s="8" t="s">
        <v>291</v>
      </c>
      <c r="B59" s="8" t="s">
        <v>356</v>
      </c>
      <c r="C59" s="9" t="s">
        <v>783</v>
      </c>
      <c r="K59" s="8" t="s">
        <v>38</v>
      </c>
    </row>
    <row r="60" spans="1:14" ht="110.25">
      <c r="A60" s="8" t="s">
        <v>43</v>
      </c>
      <c r="B60" s="8" t="s">
        <v>357</v>
      </c>
      <c r="C60" s="9" t="s">
        <v>358</v>
      </c>
      <c r="G60" s="8" t="s">
        <v>359</v>
      </c>
      <c r="H60" s="10" t="s">
        <v>360</v>
      </c>
      <c r="I60" s="8" t="s">
        <v>727</v>
      </c>
      <c r="K60" s="8" t="s">
        <v>38</v>
      </c>
    </row>
    <row r="61" spans="1:14" ht="63">
      <c r="A61" s="8" t="s">
        <v>43</v>
      </c>
      <c r="B61" s="8" t="s">
        <v>784</v>
      </c>
      <c r="C61" s="9" t="s">
        <v>785</v>
      </c>
      <c r="D61" s="8" t="s">
        <v>786</v>
      </c>
      <c r="K61" s="8" t="s">
        <v>38</v>
      </c>
    </row>
    <row r="62" spans="1:14" ht="63">
      <c r="A62" s="8" t="s">
        <v>796</v>
      </c>
      <c r="B62" s="8" t="s">
        <v>789</v>
      </c>
      <c r="C62" s="9" t="s">
        <v>787</v>
      </c>
      <c r="D62" s="8" t="s">
        <v>788</v>
      </c>
      <c r="G62" s="8" t="s">
        <v>795</v>
      </c>
      <c r="H62" s="10" t="s">
        <v>797</v>
      </c>
      <c r="K62" s="8" t="s">
        <v>38</v>
      </c>
    </row>
    <row r="63" spans="1:14">
      <c r="A63" s="8" t="s">
        <v>153</v>
      </c>
      <c r="B63" s="8" t="s">
        <v>697</v>
      </c>
      <c r="N63" s="54" t="s">
        <v>696</v>
      </c>
    </row>
    <row r="64" spans="1:14">
      <c r="A64" s="8" t="s">
        <v>41</v>
      </c>
      <c r="B64" s="8" t="s">
        <v>700</v>
      </c>
      <c r="N64" s="54" t="s">
        <v>702</v>
      </c>
    </row>
    <row r="65" spans="1:14">
      <c r="A65" s="8" t="s">
        <v>46</v>
      </c>
      <c r="B65" s="8" t="s">
        <v>336</v>
      </c>
    </row>
    <row r="66" spans="1:14">
      <c r="A66" s="8" t="s">
        <v>39</v>
      </c>
      <c r="B66" s="8" t="s">
        <v>387</v>
      </c>
    </row>
    <row r="67" spans="1:14">
      <c r="A67" s="8" t="s">
        <v>153</v>
      </c>
      <c r="B67" s="8" t="s">
        <v>704</v>
      </c>
      <c r="N67" s="54" t="s">
        <v>696</v>
      </c>
    </row>
    <row r="68" spans="1:14" ht="78.75">
      <c r="A68" s="8" t="s">
        <v>291</v>
      </c>
      <c r="B68" s="8" t="s">
        <v>388</v>
      </c>
      <c r="C68" s="9" t="s">
        <v>798</v>
      </c>
      <c r="K68" s="8" t="s">
        <v>38</v>
      </c>
    </row>
    <row r="69" spans="1:14" ht="31.5">
      <c r="A69" s="8" t="s">
        <v>43</v>
      </c>
      <c r="B69" s="8" t="s">
        <v>389</v>
      </c>
      <c r="C69" s="9" t="s">
        <v>390</v>
      </c>
      <c r="G69" s="8" t="s">
        <v>391</v>
      </c>
      <c r="H69" s="10" t="s">
        <v>392</v>
      </c>
      <c r="I69" s="8" t="s">
        <v>393</v>
      </c>
      <c r="K69" s="8" t="s">
        <v>38</v>
      </c>
    </row>
    <row r="70" spans="1:14">
      <c r="A70" s="8" t="s">
        <v>404</v>
      </c>
      <c r="B70" s="8" t="s">
        <v>394</v>
      </c>
      <c r="C70" s="9" t="s">
        <v>799</v>
      </c>
      <c r="K70" s="8" t="s">
        <v>38</v>
      </c>
    </row>
    <row r="71" spans="1:14" ht="31.5">
      <c r="A71" s="8" t="s">
        <v>43</v>
      </c>
      <c r="B71" s="8" t="s">
        <v>409</v>
      </c>
      <c r="C71" s="9" t="s">
        <v>800</v>
      </c>
      <c r="G71" s="8" t="s">
        <v>406</v>
      </c>
      <c r="H71" s="10" t="s">
        <v>407</v>
      </c>
      <c r="K71" s="8" t="s">
        <v>38</v>
      </c>
    </row>
    <row r="72" spans="1:14">
      <c r="A72" s="8" t="s">
        <v>408</v>
      </c>
      <c r="B72" s="8" t="s">
        <v>410</v>
      </c>
      <c r="C72" s="9" t="s">
        <v>801</v>
      </c>
      <c r="I72" s="8" t="s">
        <v>393</v>
      </c>
      <c r="K72" s="8" t="s">
        <v>38</v>
      </c>
    </row>
    <row r="73" spans="1:14">
      <c r="A73" s="8" t="s">
        <v>413</v>
      </c>
      <c r="B73" s="8" t="s">
        <v>414</v>
      </c>
      <c r="C73" s="9" t="s">
        <v>802</v>
      </c>
      <c r="I73" s="8" t="s">
        <v>393</v>
      </c>
      <c r="K73" s="8" t="s">
        <v>38</v>
      </c>
    </row>
    <row r="74" spans="1:14">
      <c r="A74" s="8" t="s">
        <v>43</v>
      </c>
      <c r="B74" s="8" t="s">
        <v>418</v>
      </c>
      <c r="C74" s="9" t="s">
        <v>419</v>
      </c>
      <c r="I74" s="8" t="s">
        <v>420</v>
      </c>
      <c r="K74" s="8" t="s">
        <v>38</v>
      </c>
    </row>
    <row r="75" spans="1:14" ht="47.25">
      <c r="A75" s="8" t="s">
        <v>132</v>
      </c>
      <c r="B75" s="8" t="s">
        <v>421</v>
      </c>
      <c r="C75" s="9" t="s">
        <v>803</v>
      </c>
      <c r="G75" s="8" t="s">
        <v>422</v>
      </c>
      <c r="H75" s="10" t="s">
        <v>423</v>
      </c>
      <c r="I75" s="8" t="s">
        <v>393</v>
      </c>
      <c r="K75" s="8" t="s">
        <v>38</v>
      </c>
    </row>
    <row r="76" spans="1:14">
      <c r="A76" s="8" t="s">
        <v>41</v>
      </c>
      <c r="B76" s="8" t="s">
        <v>424</v>
      </c>
      <c r="N76" s="8" t="s">
        <v>918</v>
      </c>
    </row>
    <row r="77" spans="1:14" ht="31.5">
      <c r="A77" s="8" t="s">
        <v>291</v>
      </c>
      <c r="B77" s="8" t="s">
        <v>434</v>
      </c>
      <c r="C77" s="9" t="s">
        <v>435</v>
      </c>
      <c r="D77" s="8" t="s">
        <v>436</v>
      </c>
      <c r="K77" s="8" t="s">
        <v>38</v>
      </c>
    </row>
    <row r="78" spans="1:14" ht="47.25">
      <c r="A78" s="8" t="s">
        <v>45</v>
      </c>
      <c r="B78" s="8" t="s">
        <v>468</v>
      </c>
      <c r="C78" s="9" t="s">
        <v>438</v>
      </c>
      <c r="D78" s="8" t="s">
        <v>750</v>
      </c>
      <c r="G78" s="8" t="s">
        <v>749</v>
      </c>
      <c r="H78" s="10" t="s">
        <v>439</v>
      </c>
      <c r="I78" s="8" t="s">
        <v>437</v>
      </c>
      <c r="K78" s="8" t="s">
        <v>38</v>
      </c>
    </row>
    <row r="79" spans="1:14">
      <c r="A79" s="8" t="s">
        <v>153</v>
      </c>
      <c r="B79" s="8" t="s">
        <v>705</v>
      </c>
      <c r="N79" s="54" t="s">
        <v>696</v>
      </c>
    </row>
    <row r="80" spans="1:14">
      <c r="A80" s="8" t="s">
        <v>41</v>
      </c>
      <c r="B80" s="8" t="s">
        <v>706</v>
      </c>
      <c r="N80" s="8" t="s">
        <v>707</v>
      </c>
    </row>
    <row r="81" spans="1:14">
      <c r="A81" s="8" t="s">
        <v>46</v>
      </c>
      <c r="B81" s="8" t="s">
        <v>387</v>
      </c>
    </row>
    <row r="82" spans="1:14">
      <c r="A82" s="8" t="s">
        <v>39</v>
      </c>
      <c r="B82" s="8" t="s">
        <v>361</v>
      </c>
    </row>
    <row r="83" spans="1:14">
      <c r="A83" s="8" t="s">
        <v>153</v>
      </c>
      <c r="B83" s="8" t="s">
        <v>698</v>
      </c>
      <c r="N83" s="54" t="s">
        <v>696</v>
      </c>
    </row>
    <row r="84" spans="1:14" ht="31.5">
      <c r="A84" s="8" t="s">
        <v>804</v>
      </c>
      <c r="B84" s="8" t="s">
        <v>805</v>
      </c>
      <c r="C84" s="9" t="s">
        <v>812</v>
      </c>
      <c r="K84" s="8" t="s">
        <v>38</v>
      </c>
      <c r="N84" s="54"/>
    </row>
    <row r="85" spans="1:14" ht="63">
      <c r="A85" s="8" t="s">
        <v>362</v>
      </c>
      <c r="B85" s="8" t="s">
        <v>363</v>
      </c>
      <c r="C85" s="9" t="s">
        <v>813</v>
      </c>
      <c r="I85" s="8" t="s">
        <v>814</v>
      </c>
      <c r="K85" s="8" t="s">
        <v>38</v>
      </c>
    </row>
    <row r="86" spans="1:14" ht="31.5">
      <c r="A86" s="8" t="s">
        <v>368</v>
      </c>
      <c r="B86" s="8" t="s">
        <v>369</v>
      </c>
      <c r="C86" s="9" t="s">
        <v>815</v>
      </c>
      <c r="I86" s="8" t="s">
        <v>814</v>
      </c>
      <c r="K86" s="8" t="s">
        <v>38</v>
      </c>
    </row>
    <row r="87" spans="1:14" ht="31.5">
      <c r="A87" s="8" t="s">
        <v>291</v>
      </c>
      <c r="B87" s="8" t="s">
        <v>377</v>
      </c>
      <c r="C87" s="9" t="s">
        <v>817</v>
      </c>
      <c r="I87" s="8" t="s">
        <v>816</v>
      </c>
      <c r="K87" s="8" t="s">
        <v>38</v>
      </c>
    </row>
    <row r="88" spans="1:14" ht="31.5">
      <c r="A88" s="8" t="s">
        <v>378</v>
      </c>
      <c r="B88" s="8" t="s">
        <v>379</v>
      </c>
      <c r="C88" s="9" t="s">
        <v>818</v>
      </c>
      <c r="I88" s="8" t="s">
        <v>386</v>
      </c>
      <c r="K88" s="8" t="s">
        <v>38</v>
      </c>
    </row>
    <row r="89" spans="1:14">
      <c r="A89" s="8" t="s">
        <v>153</v>
      </c>
      <c r="B89" s="8" t="s">
        <v>699</v>
      </c>
      <c r="N89" s="54" t="s">
        <v>696</v>
      </c>
    </row>
    <row r="90" spans="1:14">
      <c r="A90" s="8" t="s">
        <v>41</v>
      </c>
      <c r="B90" s="8" t="s">
        <v>701</v>
      </c>
      <c r="N90" s="54" t="s">
        <v>703</v>
      </c>
    </row>
    <row r="91" spans="1:14">
      <c r="A91" s="8" t="s">
        <v>46</v>
      </c>
      <c r="B91" s="8" t="s">
        <v>361</v>
      </c>
    </row>
    <row r="92" spans="1:14">
      <c r="A92" s="8" t="s">
        <v>39</v>
      </c>
      <c r="B92" s="8" t="s">
        <v>531</v>
      </c>
    </row>
    <row r="93" spans="1:14">
      <c r="A93" s="8" t="s">
        <v>153</v>
      </c>
      <c r="B93" s="8" t="s">
        <v>708</v>
      </c>
      <c r="N93" s="54" t="s">
        <v>696</v>
      </c>
    </row>
    <row r="94" spans="1:14" ht="47.25">
      <c r="A94" s="8" t="s">
        <v>291</v>
      </c>
      <c r="B94" s="8" t="s">
        <v>532</v>
      </c>
      <c r="C94" s="9" t="s">
        <v>819</v>
      </c>
      <c r="K94" s="8" t="s">
        <v>38</v>
      </c>
    </row>
    <row r="95" spans="1:14" ht="47.25">
      <c r="A95" s="8" t="s">
        <v>533</v>
      </c>
      <c r="B95" s="8" t="s">
        <v>534</v>
      </c>
      <c r="C95" s="9" t="s">
        <v>823</v>
      </c>
      <c r="K95" s="8" t="s">
        <v>38</v>
      </c>
    </row>
    <row r="96" spans="1:14" ht="31.5">
      <c r="A96" s="8" t="s">
        <v>291</v>
      </c>
      <c r="B96" s="8" t="s">
        <v>539</v>
      </c>
      <c r="C96" s="9" t="s">
        <v>824</v>
      </c>
      <c r="K96" s="8" t="s">
        <v>38</v>
      </c>
    </row>
    <row r="97" spans="1:11" ht="47.25">
      <c r="A97" s="8" t="s">
        <v>540</v>
      </c>
      <c r="B97" s="8" t="s">
        <v>541</v>
      </c>
      <c r="C97" s="9" t="s">
        <v>825</v>
      </c>
      <c r="K97" s="8" t="s">
        <v>38</v>
      </c>
    </row>
    <row r="98" spans="1:11">
      <c r="A98" s="8" t="s">
        <v>43</v>
      </c>
      <c r="B98" s="8" t="s">
        <v>544</v>
      </c>
      <c r="C98" s="9" t="s">
        <v>545</v>
      </c>
      <c r="I98" s="8" t="s">
        <v>822</v>
      </c>
      <c r="K98" s="8" t="s">
        <v>38</v>
      </c>
    </row>
    <row r="99" spans="1:11">
      <c r="A99" s="8" t="s">
        <v>39</v>
      </c>
      <c r="B99" s="8" t="s">
        <v>546</v>
      </c>
      <c r="F99" s="8" t="s">
        <v>327</v>
      </c>
    </row>
    <row r="100" spans="1:11" ht="299.25">
      <c r="A100" s="8" t="s">
        <v>36</v>
      </c>
      <c r="B100" s="8" t="s">
        <v>547</v>
      </c>
      <c r="C100" s="9" t="s">
        <v>826</v>
      </c>
    </row>
    <row r="101" spans="1:11">
      <c r="A101" s="8" t="s">
        <v>548</v>
      </c>
      <c r="B101" s="8" t="s">
        <v>550</v>
      </c>
      <c r="C101" s="9" t="s">
        <v>551</v>
      </c>
      <c r="D101" s="8" t="s">
        <v>552</v>
      </c>
      <c r="F101" s="8" t="s">
        <v>99</v>
      </c>
      <c r="K101" s="8" t="s">
        <v>38</v>
      </c>
    </row>
    <row r="102" spans="1:11">
      <c r="A102" s="8" t="s">
        <v>548</v>
      </c>
      <c r="B102" s="8" t="s">
        <v>553</v>
      </c>
      <c r="C102" s="9" t="s">
        <v>554</v>
      </c>
      <c r="D102" s="8" t="s">
        <v>575</v>
      </c>
      <c r="F102" s="8" t="s">
        <v>99</v>
      </c>
      <c r="K102" s="8" t="s">
        <v>38</v>
      </c>
    </row>
    <row r="103" spans="1:11">
      <c r="A103" s="8" t="s">
        <v>548</v>
      </c>
      <c r="B103" s="8" t="s">
        <v>555</v>
      </c>
      <c r="C103" s="9" t="s">
        <v>556</v>
      </c>
      <c r="D103" s="8" t="s">
        <v>557</v>
      </c>
      <c r="F103" s="8" t="s">
        <v>99</v>
      </c>
      <c r="K103" s="8" t="s">
        <v>38</v>
      </c>
    </row>
    <row r="104" spans="1:11">
      <c r="A104" s="8" t="s">
        <v>548</v>
      </c>
      <c r="B104" s="8" t="s">
        <v>558</v>
      </c>
      <c r="C104" s="9" t="s">
        <v>559</v>
      </c>
      <c r="D104" s="8" t="s">
        <v>576</v>
      </c>
      <c r="F104" s="8" t="s">
        <v>99</v>
      </c>
      <c r="K104" s="8" t="s">
        <v>38</v>
      </c>
    </row>
    <row r="105" spans="1:11">
      <c r="A105" s="8" t="s">
        <v>548</v>
      </c>
      <c r="B105" s="8" t="s">
        <v>560</v>
      </c>
      <c r="C105" s="9" t="s">
        <v>561</v>
      </c>
      <c r="D105" s="8" t="s">
        <v>562</v>
      </c>
      <c r="F105" s="8" t="s">
        <v>99</v>
      </c>
      <c r="K105" s="8" t="s">
        <v>38</v>
      </c>
    </row>
    <row r="106" spans="1:11" ht="63">
      <c r="A106" s="8" t="s">
        <v>36</v>
      </c>
      <c r="B106" s="8" t="s">
        <v>742</v>
      </c>
      <c r="C106" s="9" t="s">
        <v>743</v>
      </c>
    </row>
    <row r="107" spans="1:11">
      <c r="A107" s="8" t="s">
        <v>548</v>
      </c>
      <c r="B107" s="8" t="s">
        <v>563</v>
      </c>
      <c r="C107" s="9" t="s">
        <v>564</v>
      </c>
      <c r="D107" s="8" t="s">
        <v>565</v>
      </c>
      <c r="F107" s="8" t="s">
        <v>99</v>
      </c>
      <c r="K107" s="8" t="s">
        <v>38</v>
      </c>
    </row>
    <row r="108" spans="1:11">
      <c r="A108" s="8" t="s">
        <v>548</v>
      </c>
      <c r="B108" s="8" t="s">
        <v>566</v>
      </c>
      <c r="C108" s="9" t="s">
        <v>567</v>
      </c>
      <c r="D108" s="8" t="s">
        <v>568</v>
      </c>
      <c r="F108" s="8" t="s">
        <v>99</v>
      </c>
      <c r="K108" s="8" t="s">
        <v>38</v>
      </c>
    </row>
    <row r="109" spans="1:11">
      <c r="A109" s="8" t="s">
        <v>548</v>
      </c>
      <c r="B109" s="8" t="s">
        <v>569</v>
      </c>
      <c r="C109" s="9" t="s">
        <v>570</v>
      </c>
      <c r="D109" s="8" t="s">
        <v>571</v>
      </c>
      <c r="F109" s="8" t="s">
        <v>99</v>
      </c>
      <c r="K109" s="8" t="s">
        <v>38</v>
      </c>
    </row>
    <row r="110" spans="1:11">
      <c r="A110" s="8" t="s">
        <v>548</v>
      </c>
      <c r="B110" s="8" t="s">
        <v>572</v>
      </c>
      <c r="C110" s="9" t="s">
        <v>573</v>
      </c>
      <c r="D110" s="8" t="s">
        <v>574</v>
      </c>
      <c r="F110" s="8" t="s">
        <v>99</v>
      </c>
      <c r="K110" s="8" t="s">
        <v>38</v>
      </c>
    </row>
    <row r="111" spans="1:11">
      <c r="A111" s="8" t="s">
        <v>46</v>
      </c>
      <c r="B111" s="8" t="s">
        <v>546</v>
      </c>
    </row>
    <row r="112" spans="1:11">
      <c r="A112" s="8" t="s">
        <v>39</v>
      </c>
      <c r="B112" s="8" t="s">
        <v>585</v>
      </c>
      <c r="F112" s="8" t="s">
        <v>327</v>
      </c>
    </row>
    <row r="113" spans="1:14" ht="220.5">
      <c r="A113" s="8" t="s">
        <v>36</v>
      </c>
      <c r="B113" s="8" t="s">
        <v>586</v>
      </c>
      <c r="C113" s="9" t="s">
        <v>592</v>
      </c>
    </row>
    <row r="114" spans="1:14" ht="63">
      <c r="A114" s="8" t="s">
        <v>548</v>
      </c>
      <c r="B114" s="8" t="s">
        <v>587</v>
      </c>
      <c r="C114" s="9" t="s">
        <v>827</v>
      </c>
      <c r="F114" s="8" t="s">
        <v>99</v>
      </c>
      <c r="K114" s="8" t="s">
        <v>38</v>
      </c>
    </row>
    <row r="115" spans="1:14" ht="63">
      <c r="A115" s="8" t="s">
        <v>548</v>
      </c>
      <c r="B115" s="8" t="s">
        <v>588</v>
      </c>
      <c r="C115" s="9" t="s">
        <v>828</v>
      </c>
      <c r="F115" s="8" t="s">
        <v>99</v>
      </c>
      <c r="K115" s="8" t="s">
        <v>38</v>
      </c>
    </row>
    <row r="116" spans="1:14" ht="47.25">
      <c r="A116" s="8" t="s">
        <v>548</v>
      </c>
      <c r="B116" s="8" t="s">
        <v>589</v>
      </c>
      <c r="C116" s="9" t="s">
        <v>829</v>
      </c>
      <c r="F116" s="8" t="s">
        <v>99</v>
      </c>
      <c r="K116" s="8" t="s">
        <v>38</v>
      </c>
    </row>
    <row r="117" spans="1:14" ht="78.75">
      <c r="A117" s="8" t="s">
        <v>548</v>
      </c>
      <c r="B117" s="8" t="s">
        <v>590</v>
      </c>
      <c r="C117" s="9" t="s">
        <v>830</v>
      </c>
      <c r="F117" s="8" t="s">
        <v>99</v>
      </c>
      <c r="K117" s="8" t="s">
        <v>38</v>
      </c>
    </row>
    <row r="118" spans="1:14" ht="47.25">
      <c r="A118" s="8" t="s">
        <v>548</v>
      </c>
      <c r="B118" s="8" t="s">
        <v>591</v>
      </c>
      <c r="C118" s="9" t="s">
        <v>831</v>
      </c>
      <c r="F118" s="8" t="s">
        <v>99</v>
      </c>
      <c r="K118" s="8" t="s">
        <v>38</v>
      </c>
    </row>
    <row r="119" spans="1:14">
      <c r="A119" s="8" t="s">
        <v>46</v>
      </c>
      <c r="B119" s="8" t="s">
        <v>585</v>
      </c>
    </row>
    <row r="120" spans="1:14" ht="47.25">
      <c r="A120" s="8" t="s">
        <v>291</v>
      </c>
      <c r="B120" s="8" t="s">
        <v>597</v>
      </c>
      <c r="C120" s="9" t="s">
        <v>832</v>
      </c>
      <c r="K120" s="8" t="s">
        <v>38</v>
      </c>
    </row>
    <row r="121" spans="1:14" ht="31.5">
      <c r="A121" s="8" t="s">
        <v>598</v>
      </c>
      <c r="B121" s="8" t="s">
        <v>599</v>
      </c>
      <c r="C121" s="9" t="s">
        <v>833</v>
      </c>
      <c r="I121" s="8" t="s">
        <v>969</v>
      </c>
      <c r="K121" s="8" t="s">
        <v>38</v>
      </c>
    </row>
    <row r="122" spans="1:14" ht="47.25">
      <c r="A122" s="8" t="s">
        <v>291</v>
      </c>
      <c r="B122" s="8" t="s">
        <v>600</v>
      </c>
      <c r="C122" s="9" t="s">
        <v>834</v>
      </c>
      <c r="K122" s="8" t="s">
        <v>38</v>
      </c>
    </row>
    <row r="123" spans="1:14" ht="31.5">
      <c r="A123" s="8" t="s">
        <v>598</v>
      </c>
      <c r="B123" s="8" t="s">
        <v>601</v>
      </c>
      <c r="C123" s="9" t="s">
        <v>835</v>
      </c>
      <c r="I123" s="8" t="s">
        <v>970</v>
      </c>
      <c r="K123" s="8" t="s">
        <v>38</v>
      </c>
    </row>
    <row r="124" spans="1:14" ht="47.25">
      <c r="A124" s="8" t="s">
        <v>291</v>
      </c>
      <c r="B124" s="8" t="s">
        <v>602</v>
      </c>
      <c r="C124" s="9" t="s">
        <v>836</v>
      </c>
      <c r="K124" s="8" t="s">
        <v>38</v>
      </c>
    </row>
    <row r="125" spans="1:14" ht="31.5">
      <c r="A125" s="8" t="s">
        <v>598</v>
      </c>
      <c r="B125" s="8" t="s">
        <v>603</v>
      </c>
      <c r="C125" s="9" t="s">
        <v>837</v>
      </c>
      <c r="I125" s="8" t="s">
        <v>971</v>
      </c>
      <c r="K125" s="8" t="s">
        <v>38</v>
      </c>
    </row>
    <row r="126" spans="1:14">
      <c r="A126" s="8" t="s">
        <v>153</v>
      </c>
      <c r="B126" s="8" t="s">
        <v>709</v>
      </c>
      <c r="N126" s="54" t="s">
        <v>696</v>
      </c>
    </row>
    <row r="127" spans="1:14">
      <c r="A127" s="8" t="s">
        <v>41</v>
      </c>
      <c r="B127" s="8" t="s">
        <v>710</v>
      </c>
      <c r="N127" s="8" t="s">
        <v>711</v>
      </c>
    </row>
    <row r="128" spans="1:14">
      <c r="A128" s="8" t="s">
        <v>46</v>
      </c>
      <c r="B128" s="8" t="s">
        <v>531</v>
      </c>
    </row>
    <row r="129" spans="1:14">
      <c r="A129" s="8" t="s">
        <v>39</v>
      </c>
      <c r="B129" s="8" t="s">
        <v>469</v>
      </c>
    </row>
    <row r="130" spans="1:14">
      <c r="A130" s="8" t="s">
        <v>153</v>
      </c>
      <c r="B130" s="8" t="s">
        <v>712</v>
      </c>
      <c r="N130" s="54" t="s">
        <v>696</v>
      </c>
    </row>
    <row r="131" spans="1:14" ht="63">
      <c r="A131" s="8" t="s">
        <v>470</v>
      </c>
      <c r="B131" s="8" t="s">
        <v>471</v>
      </c>
      <c r="C131" s="9" t="s">
        <v>838</v>
      </c>
      <c r="K131" s="8" t="s">
        <v>38</v>
      </c>
    </row>
    <row r="132" spans="1:14" ht="47.25">
      <c r="A132" s="8" t="s">
        <v>477</v>
      </c>
      <c r="B132" s="8" t="s">
        <v>478</v>
      </c>
      <c r="C132" s="9" t="s">
        <v>839</v>
      </c>
      <c r="D132" s="8" t="s">
        <v>479</v>
      </c>
      <c r="I132" s="8" t="s">
        <v>731</v>
      </c>
      <c r="K132" s="8" t="s">
        <v>38</v>
      </c>
    </row>
    <row r="133" spans="1:14">
      <c r="A133" s="8" t="s">
        <v>39</v>
      </c>
      <c r="B133" s="8" t="s">
        <v>487</v>
      </c>
      <c r="F133" s="8" t="s">
        <v>327</v>
      </c>
    </row>
    <row r="134" spans="1:14" ht="94.5">
      <c r="A134" s="8" t="s">
        <v>36</v>
      </c>
      <c r="B134" s="8" t="s">
        <v>488</v>
      </c>
      <c r="C134" s="9" t="s">
        <v>840</v>
      </c>
    </row>
    <row r="135" spans="1:14" ht="47.25">
      <c r="A135" s="8" t="s">
        <v>490</v>
      </c>
      <c r="B135" s="8" t="s">
        <v>492</v>
      </c>
      <c r="C135" s="9" t="s">
        <v>507</v>
      </c>
      <c r="K135" s="8" t="s">
        <v>38</v>
      </c>
    </row>
    <row r="136" spans="1:14">
      <c r="A136" s="8" t="s">
        <v>490</v>
      </c>
      <c r="B136" s="8" t="s">
        <v>493</v>
      </c>
      <c r="C136" s="9" t="s">
        <v>508</v>
      </c>
      <c r="K136" s="8" t="s">
        <v>38</v>
      </c>
    </row>
    <row r="137" spans="1:14">
      <c r="A137" s="8" t="s">
        <v>490</v>
      </c>
      <c r="B137" s="8" t="s">
        <v>494</v>
      </c>
      <c r="C137" s="9" t="s">
        <v>509</v>
      </c>
      <c r="K137" s="8" t="s">
        <v>38</v>
      </c>
    </row>
    <row r="138" spans="1:14" ht="31.5">
      <c r="A138" s="8" t="s">
        <v>490</v>
      </c>
      <c r="B138" s="8" t="s">
        <v>495</v>
      </c>
      <c r="C138" s="9" t="s">
        <v>510</v>
      </c>
      <c r="K138" s="8" t="s">
        <v>38</v>
      </c>
    </row>
    <row r="139" spans="1:14" ht="47.25">
      <c r="A139" s="8" t="s">
        <v>490</v>
      </c>
      <c r="B139" s="8" t="s">
        <v>496</v>
      </c>
      <c r="C139" s="9" t="s">
        <v>511</v>
      </c>
      <c r="K139" s="8" t="s">
        <v>38</v>
      </c>
    </row>
    <row r="140" spans="1:14" ht="94.5">
      <c r="A140" s="8" t="s">
        <v>36</v>
      </c>
      <c r="B140" s="8" t="s">
        <v>734</v>
      </c>
      <c r="C140" s="9" t="s">
        <v>489</v>
      </c>
    </row>
    <row r="141" spans="1:14">
      <c r="A141" s="8" t="s">
        <v>490</v>
      </c>
      <c r="B141" s="8" t="s">
        <v>497</v>
      </c>
      <c r="C141" s="9" t="s">
        <v>512</v>
      </c>
      <c r="K141" s="8" t="s">
        <v>38</v>
      </c>
    </row>
    <row r="142" spans="1:14" ht="31.5">
      <c r="A142" s="8" t="s">
        <v>490</v>
      </c>
      <c r="B142" s="8" t="s">
        <v>498</v>
      </c>
      <c r="C142" s="9" t="s">
        <v>513</v>
      </c>
      <c r="K142" s="8" t="s">
        <v>38</v>
      </c>
    </row>
    <row r="143" spans="1:14" ht="31.5">
      <c r="A143" s="8" t="s">
        <v>490</v>
      </c>
      <c r="B143" s="8" t="s">
        <v>499</v>
      </c>
      <c r="C143" s="9" t="s">
        <v>514</v>
      </c>
      <c r="K143" s="8" t="s">
        <v>38</v>
      </c>
    </row>
    <row r="144" spans="1:14" ht="31.5">
      <c r="A144" s="8" t="s">
        <v>490</v>
      </c>
      <c r="B144" s="8" t="s">
        <v>500</v>
      </c>
      <c r="C144" s="9" t="s">
        <v>515</v>
      </c>
      <c r="K144" s="8" t="s">
        <v>38</v>
      </c>
    </row>
    <row r="145" spans="1:14" ht="31.5">
      <c r="A145" s="8" t="s">
        <v>490</v>
      </c>
      <c r="B145" s="8" t="s">
        <v>501</v>
      </c>
      <c r="C145" s="9" t="s">
        <v>516</v>
      </c>
      <c r="K145" s="8" t="s">
        <v>38</v>
      </c>
    </row>
    <row r="146" spans="1:14" ht="94.5">
      <c r="A146" s="8" t="s">
        <v>36</v>
      </c>
      <c r="B146" s="8" t="s">
        <v>735</v>
      </c>
      <c r="C146" s="9" t="s">
        <v>489</v>
      </c>
    </row>
    <row r="147" spans="1:14">
      <c r="A147" s="8" t="s">
        <v>490</v>
      </c>
      <c r="B147" s="8" t="s">
        <v>502</v>
      </c>
      <c r="C147" s="9" t="s">
        <v>517</v>
      </c>
      <c r="K147" s="8" t="s">
        <v>38</v>
      </c>
    </row>
    <row r="148" spans="1:14" ht="31.5">
      <c r="A148" s="8" t="s">
        <v>490</v>
      </c>
      <c r="B148" s="8" t="s">
        <v>503</v>
      </c>
      <c r="C148" s="9" t="s">
        <v>518</v>
      </c>
      <c r="K148" s="8" t="s">
        <v>38</v>
      </c>
    </row>
    <row r="149" spans="1:14" ht="31.5">
      <c r="A149" s="8" t="s">
        <v>490</v>
      </c>
      <c r="B149" s="8" t="s">
        <v>504</v>
      </c>
      <c r="C149" s="9" t="s">
        <v>519</v>
      </c>
      <c r="K149" s="8" t="s">
        <v>38</v>
      </c>
    </row>
    <row r="150" spans="1:14" ht="31.5">
      <c r="A150" s="8" t="s">
        <v>490</v>
      </c>
      <c r="B150" s="8" t="s">
        <v>505</v>
      </c>
      <c r="C150" s="9" t="s">
        <v>520</v>
      </c>
      <c r="K150" s="8" t="s">
        <v>38</v>
      </c>
    </row>
    <row r="151" spans="1:14" ht="31.5">
      <c r="A151" s="8" t="s">
        <v>490</v>
      </c>
      <c r="B151" s="8" t="s">
        <v>506</v>
      </c>
      <c r="C151" s="9" t="s">
        <v>521</v>
      </c>
      <c r="K151" s="8" t="s">
        <v>38</v>
      </c>
    </row>
    <row r="152" spans="1:14">
      <c r="A152" s="8" t="s">
        <v>46</v>
      </c>
      <c r="B152" s="8" t="s">
        <v>487</v>
      </c>
    </row>
    <row r="153" spans="1:14" ht="110.25">
      <c r="A153" s="8" t="s">
        <v>842</v>
      </c>
      <c r="B153" s="8" t="s">
        <v>522</v>
      </c>
      <c r="C153" s="9" t="s">
        <v>841</v>
      </c>
      <c r="G153" s="8" t="s">
        <v>850</v>
      </c>
      <c r="H153" s="10" t="s">
        <v>851</v>
      </c>
      <c r="K153" s="8" t="s">
        <v>38</v>
      </c>
    </row>
    <row r="154" spans="1:14" ht="78.75">
      <c r="A154" s="8" t="s">
        <v>853</v>
      </c>
      <c r="B154" s="8" t="s">
        <v>523</v>
      </c>
      <c r="C154" s="9" t="s">
        <v>852</v>
      </c>
      <c r="G154" s="8" t="s">
        <v>850</v>
      </c>
      <c r="H154" s="10" t="s">
        <v>863</v>
      </c>
      <c r="K154" s="8" t="s">
        <v>38</v>
      </c>
    </row>
    <row r="155" spans="1:14">
      <c r="A155" s="8" t="s">
        <v>153</v>
      </c>
      <c r="B155" s="8" t="s">
        <v>713</v>
      </c>
      <c r="N155" s="54" t="s">
        <v>696</v>
      </c>
    </row>
    <row r="156" spans="1:14">
      <c r="A156" s="8" t="s">
        <v>41</v>
      </c>
      <c r="B156" s="8" t="s">
        <v>714</v>
      </c>
      <c r="N156" s="8" t="s">
        <v>715</v>
      </c>
    </row>
    <row r="157" spans="1:14">
      <c r="A157" s="8" t="s">
        <v>46</v>
      </c>
      <c r="B157" s="8" t="s">
        <v>469</v>
      </c>
    </row>
    <row r="158" spans="1:14">
      <c r="A158" s="8" t="s">
        <v>39</v>
      </c>
      <c r="B158" s="8" t="s">
        <v>632</v>
      </c>
    </row>
    <row r="159" spans="1:14">
      <c r="A159" s="8" t="s">
        <v>153</v>
      </c>
      <c r="B159" s="8" t="s">
        <v>716</v>
      </c>
      <c r="N159" s="54" t="s">
        <v>696</v>
      </c>
    </row>
    <row r="160" spans="1:14" ht="47.25">
      <c r="A160" s="8" t="s">
        <v>633</v>
      </c>
      <c r="B160" s="8" t="s">
        <v>634</v>
      </c>
      <c r="C160" s="9" t="s">
        <v>864</v>
      </c>
      <c r="K160" s="8" t="s">
        <v>38</v>
      </c>
    </row>
    <row r="161" spans="1:14" ht="47.25">
      <c r="A161" s="8" t="s">
        <v>635</v>
      </c>
      <c r="B161" s="8" t="s">
        <v>636</v>
      </c>
      <c r="C161" s="9" t="s">
        <v>865</v>
      </c>
      <c r="K161" s="8" t="s">
        <v>38</v>
      </c>
    </row>
    <row r="162" spans="1:14" ht="31.5">
      <c r="A162" s="8" t="s">
        <v>45</v>
      </c>
      <c r="B162" s="8" t="s">
        <v>637</v>
      </c>
      <c r="C162" s="9" t="s">
        <v>866</v>
      </c>
      <c r="D162" s="8" t="s">
        <v>745</v>
      </c>
      <c r="G162" s="8" t="s">
        <v>689</v>
      </c>
      <c r="K162" s="8" t="s">
        <v>38</v>
      </c>
    </row>
    <row r="163" spans="1:14">
      <c r="A163" s="8" t="s">
        <v>638</v>
      </c>
      <c r="B163" s="8" t="s">
        <v>639</v>
      </c>
      <c r="C163" s="9" t="s">
        <v>867</v>
      </c>
      <c r="K163" s="8" t="s">
        <v>38</v>
      </c>
    </row>
    <row r="164" spans="1:14" ht="47.25">
      <c r="A164" s="8" t="s">
        <v>640</v>
      </c>
      <c r="B164" s="8" t="s">
        <v>641</v>
      </c>
      <c r="C164" s="9" t="s">
        <v>868</v>
      </c>
      <c r="D164" s="8" t="s">
        <v>642</v>
      </c>
      <c r="K164" s="8" t="s">
        <v>38</v>
      </c>
    </row>
    <row r="165" spans="1:14" ht="78.75">
      <c r="A165" s="8" t="s">
        <v>45</v>
      </c>
      <c r="B165" s="8" t="s">
        <v>870</v>
      </c>
      <c r="C165" s="9" t="s">
        <v>917</v>
      </c>
      <c r="G165" s="8" t="s">
        <v>871</v>
      </c>
      <c r="H165" s="10" t="s">
        <v>872</v>
      </c>
      <c r="K165" s="8" t="s">
        <v>38</v>
      </c>
    </row>
    <row r="166" spans="1:14">
      <c r="A166" s="8" t="s">
        <v>41</v>
      </c>
      <c r="B166" s="8" t="str">
        <f>CONCATENATE(B165,"_number")</f>
        <v>ingresos_mes_number</v>
      </c>
      <c r="N166" s="8" t="str">
        <f>CONCATENATE("if(${",B165,"} = 88 or ${",B165,"} = 99, 0, ${",B165,"})")</f>
        <v>if(${ingresos_mes} = 88 or ${ingresos_mes} = 99, 0, ${ingresos_mes})</v>
      </c>
    </row>
    <row r="167" spans="1:14" ht="78.75">
      <c r="A167" s="8" t="s">
        <v>45</v>
      </c>
      <c r="B167" s="8" t="s">
        <v>643</v>
      </c>
      <c r="C167" s="9" t="s">
        <v>751</v>
      </c>
      <c r="D167" s="8" t="s">
        <v>644</v>
      </c>
      <c r="K167" s="8" t="s">
        <v>38</v>
      </c>
    </row>
    <row r="168" spans="1:14">
      <c r="A168" s="8" t="s">
        <v>41</v>
      </c>
      <c r="B168" s="8" t="str">
        <f>CONCATENATE(B167,"_number")</f>
        <v>gasto_alimentos_number</v>
      </c>
      <c r="N168" s="8" t="str">
        <f>CONCATENATE("if(${",B167,"} = 88 or ${",B167,"} = 99, 0, ${",B167,"})")</f>
        <v>if(${gasto_alimentos} = 88 or ${gasto_alimentos} = 99, 0, ${gasto_alimentos})</v>
      </c>
    </row>
    <row r="169" spans="1:14">
      <c r="A169" s="8" t="s">
        <v>36</v>
      </c>
      <c r="B169" s="8" t="s">
        <v>645</v>
      </c>
      <c r="C169" t="s">
        <v>940</v>
      </c>
      <c r="I169" s="8" t="s">
        <v>646</v>
      </c>
    </row>
    <row r="170" spans="1:14" ht="78.75">
      <c r="A170" s="8" t="s">
        <v>45</v>
      </c>
      <c r="B170" s="8" t="s">
        <v>662</v>
      </c>
      <c r="C170" s="9" t="s">
        <v>757</v>
      </c>
      <c r="D170" s="8" t="s">
        <v>644</v>
      </c>
      <c r="K170" s="8" t="s">
        <v>38</v>
      </c>
    </row>
    <row r="171" spans="1:14">
      <c r="A171" s="8" t="s">
        <v>41</v>
      </c>
      <c r="B171" s="8" t="str">
        <f>CONCATENATE(B170,"_number")</f>
        <v>gasto_educacion_number</v>
      </c>
      <c r="N171" s="8" t="str">
        <f>CONCATENATE("if(${",B170,"} = 88 or ${",B170,"} = 99, 0, ${",B170,"})")</f>
        <v>if(${gasto_educacion} = 88 or ${gasto_educacion} = 99, 0, ${gasto_educacion})</v>
      </c>
    </row>
    <row r="172" spans="1:14">
      <c r="A172" s="8" t="s">
        <v>36</v>
      </c>
      <c r="B172" s="8" t="s">
        <v>663</v>
      </c>
      <c r="C172" t="s">
        <v>941</v>
      </c>
      <c r="I172" s="8" t="s">
        <v>664</v>
      </c>
    </row>
    <row r="173" spans="1:14" ht="78.75">
      <c r="A173" s="8" t="s">
        <v>45</v>
      </c>
      <c r="B173" s="8" t="s">
        <v>665</v>
      </c>
      <c r="C173" s="9" t="s">
        <v>758</v>
      </c>
      <c r="D173" s="8" t="s">
        <v>644</v>
      </c>
      <c r="K173" s="8" t="s">
        <v>38</v>
      </c>
    </row>
    <row r="174" spans="1:14">
      <c r="A174" s="8" t="s">
        <v>41</v>
      </c>
      <c r="B174" s="8" t="str">
        <f>CONCATENATE(B173,"_number")</f>
        <v>gasto_transporte_number</v>
      </c>
      <c r="N174" s="8" t="str">
        <f>CONCATENATE("if(${",B173,"} = 88 or ${",B173,"} = 99, 0, ${",B173,"})")</f>
        <v>if(${gasto_transporte} = 88 or ${gasto_transporte} = 99, 0, ${gasto_transporte})</v>
      </c>
    </row>
    <row r="175" spans="1:14">
      <c r="A175" s="8" t="s">
        <v>36</v>
      </c>
      <c r="B175" s="8" t="s">
        <v>666</v>
      </c>
      <c r="C175" t="s">
        <v>942</v>
      </c>
      <c r="I175" s="8" t="s">
        <v>667</v>
      </c>
    </row>
    <row r="176" spans="1:14" ht="94.5">
      <c r="A176" s="8" t="s">
        <v>45</v>
      </c>
      <c r="B176" s="8" t="s">
        <v>671</v>
      </c>
      <c r="C176" s="9" t="s">
        <v>760</v>
      </c>
      <c r="D176" s="8" t="s">
        <v>644</v>
      </c>
      <c r="K176" s="8" t="s">
        <v>38</v>
      </c>
    </row>
    <row r="177" spans="1:14">
      <c r="A177" s="8" t="s">
        <v>41</v>
      </c>
      <c r="B177" s="8" t="str">
        <f>CONCATENATE(B176,"_number")</f>
        <v>gasto_salud_number</v>
      </c>
      <c r="N177" s="8" t="str">
        <f>CONCATENATE("if(${",B176,"} = 88 or ${",B176,"} = 99, 0, ${",B176,"})")</f>
        <v>if(${gasto_salud} = 88 or ${gasto_salud} = 99, 0, ${gasto_salud})</v>
      </c>
    </row>
    <row r="178" spans="1:14">
      <c r="A178" s="8" t="s">
        <v>36</v>
      </c>
      <c r="B178" s="8" t="s">
        <v>672</v>
      </c>
      <c r="C178" t="s">
        <v>943</v>
      </c>
      <c r="I178" s="8" t="s">
        <v>673</v>
      </c>
    </row>
    <row r="179" spans="1:14" ht="78.75">
      <c r="A179" s="8" t="s">
        <v>45</v>
      </c>
      <c r="B179" s="8" t="s">
        <v>668</v>
      </c>
      <c r="C179" s="9" t="s">
        <v>759</v>
      </c>
      <c r="D179" s="8" t="s">
        <v>644</v>
      </c>
      <c r="K179" s="8" t="s">
        <v>38</v>
      </c>
    </row>
    <row r="180" spans="1:14">
      <c r="A180" s="8" t="s">
        <v>41</v>
      </c>
      <c r="B180" s="8" t="str">
        <f>CONCATENATE(B179,"_number")</f>
        <v>gasto_arriendo_number</v>
      </c>
      <c r="N180" s="8" t="str">
        <f>CONCATENATE("if(${",B179,"} = 88 or ${",B179,"} = 99, 0, ${",B179,"})")</f>
        <v>if(${gasto_arriendo} = 88 or ${gasto_arriendo} = 99, 0, ${gasto_arriendo})</v>
      </c>
    </row>
    <row r="181" spans="1:14">
      <c r="A181" s="8" t="s">
        <v>36</v>
      </c>
      <c r="B181" s="8" t="s">
        <v>669</v>
      </c>
      <c r="C181" t="s">
        <v>944</v>
      </c>
      <c r="I181" s="8" t="s">
        <v>670</v>
      </c>
    </row>
    <row r="182" spans="1:14" ht="31.5">
      <c r="A182" s="8" t="s">
        <v>291</v>
      </c>
      <c r="B182" s="8" t="s">
        <v>873</v>
      </c>
      <c r="C182" s="9" t="s">
        <v>874</v>
      </c>
      <c r="K182" s="8" t="s">
        <v>38</v>
      </c>
    </row>
    <row r="183" spans="1:14" ht="78.75">
      <c r="A183" s="8" t="s">
        <v>45</v>
      </c>
      <c r="B183" s="8" t="s">
        <v>647</v>
      </c>
      <c r="C183" s="9" t="s">
        <v>752</v>
      </c>
      <c r="D183" s="8" t="s">
        <v>879</v>
      </c>
      <c r="I183" s="8" t="s">
        <v>878</v>
      </c>
      <c r="K183" s="8" t="s">
        <v>38</v>
      </c>
    </row>
    <row r="184" spans="1:14">
      <c r="A184" s="8" t="s">
        <v>41</v>
      </c>
      <c r="B184" s="8" t="str">
        <f>CONCATENATE(B183,"_number")</f>
        <v>gasto_agua_number</v>
      </c>
      <c r="N184" s="8" t="str">
        <f>CONCATENATE("if(${",B183,"} = 88 or ${",B183,"} = 99, 0, ${",B183,"})")</f>
        <v>if(${gasto_agua} = 88 or ${gasto_agua} = 99, 0, ${gasto_agua})</v>
      </c>
    </row>
    <row r="185" spans="1:14">
      <c r="A185" s="8" t="s">
        <v>36</v>
      </c>
      <c r="B185" s="8" t="s">
        <v>648</v>
      </c>
      <c r="C185" t="s">
        <v>945</v>
      </c>
      <c r="I185" s="8" t="s">
        <v>649</v>
      </c>
    </row>
    <row r="186" spans="1:14" ht="94.5">
      <c r="A186" s="8" t="s">
        <v>45</v>
      </c>
      <c r="B186" s="8" t="s">
        <v>650</v>
      </c>
      <c r="C186" s="9" t="s">
        <v>753</v>
      </c>
      <c r="D186" s="8" t="s">
        <v>879</v>
      </c>
      <c r="I186" s="8" t="s">
        <v>878</v>
      </c>
      <c r="K186" s="8" t="s">
        <v>38</v>
      </c>
    </row>
    <row r="187" spans="1:14">
      <c r="A187" s="8" t="s">
        <v>41</v>
      </c>
      <c r="B187" s="8" t="str">
        <f>CONCATENATE(B186,"_number")</f>
        <v>gasto_energia_number</v>
      </c>
      <c r="N187" s="8" t="str">
        <f>CONCATENATE("if(${",B186,"} = 88 or ${",B186,"} = 99, 0, ${",B186,"})")</f>
        <v>if(${gasto_energia} = 88 or ${gasto_energia} = 99, 0, ${gasto_energia})</v>
      </c>
    </row>
    <row r="188" spans="1:14">
      <c r="A188" s="8" t="s">
        <v>36</v>
      </c>
      <c r="B188" s="8" t="s">
        <v>651</v>
      </c>
      <c r="C188" t="s">
        <v>946</v>
      </c>
      <c r="I188" s="8" t="s">
        <v>652</v>
      </c>
    </row>
    <row r="189" spans="1:14" ht="78.75">
      <c r="A189" s="8" t="s">
        <v>45</v>
      </c>
      <c r="B189" s="8" t="s">
        <v>653</v>
      </c>
      <c r="C189" s="9" t="s">
        <v>754</v>
      </c>
      <c r="D189" s="8" t="s">
        <v>879</v>
      </c>
      <c r="I189" s="8" t="s">
        <v>878</v>
      </c>
      <c r="K189" s="8" t="s">
        <v>38</v>
      </c>
    </row>
    <row r="190" spans="1:14">
      <c r="A190" s="8" t="s">
        <v>41</v>
      </c>
      <c r="B190" s="8" t="str">
        <f>CONCATENATE(B189,"_number")</f>
        <v>gasto_gas_gasolina_number</v>
      </c>
      <c r="N190" s="8" t="str">
        <f>CONCATENATE("if(${",B189,"} = 88 or ${",B189,"} = 99, 0, ${",B189,"})")</f>
        <v>if(${gasto_gas_gasolina} = 88 or ${gasto_gas_gasolina} = 99, 0, ${gasto_gas_gasolina})</v>
      </c>
    </row>
    <row r="191" spans="1:14">
      <c r="A191" s="8" t="s">
        <v>36</v>
      </c>
      <c r="B191" s="8" t="s">
        <v>654</v>
      </c>
      <c r="C191" t="s">
        <v>947</v>
      </c>
      <c r="I191" s="8" t="s">
        <v>655</v>
      </c>
    </row>
    <row r="192" spans="1:14" ht="78.75">
      <c r="A192" s="8" t="s">
        <v>45</v>
      </c>
      <c r="B192" s="8" t="s">
        <v>656</v>
      </c>
      <c r="C192" s="9" t="s">
        <v>755</v>
      </c>
      <c r="D192" s="8" t="s">
        <v>644</v>
      </c>
      <c r="K192" s="8" t="s">
        <v>38</v>
      </c>
    </row>
    <row r="193" spans="1:14">
      <c r="A193" s="8" t="s">
        <v>41</v>
      </c>
      <c r="B193" s="8" t="str">
        <f>CONCATENATE(B192,"_number")</f>
        <v>gasto_carbon_lena_number</v>
      </c>
      <c r="N193" s="8" t="str">
        <f>CONCATENATE("if(${",B192,"} = 88 or ${",B192,"} = 99, 0, ${",B192,"})")</f>
        <v>if(${gasto_carbon_lena} = 88 or ${gasto_carbon_lena} = 99, 0, ${gasto_carbon_lena})</v>
      </c>
    </row>
    <row r="194" spans="1:14">
      <c r="A194" s="8" t="s">
        <v>36</v>
      </c>
      <c r="B194" s="8" t="s">
        <v>657</v>
      </c>
      <c r="C194" t="s">
        <v>948</v>
      </c>
      <c r="I194" s="8" t="s">
        <v>658</v>
      </c>
    </row>
    <row r="195" spans="1:14" ht="94.5">
      <c r="A195" s="8" t="s">
        <v>45</v>
      </c>
      <c r="B195" s="8" t="s">
        <v>875</v>
      </c>
      <c r="C195" s="9" t="s">
        <v>764</v>
      </c>
      <c r="D195" s="8" t="s">
        <v>644</v>
      </c>
      <c r="K195" s="8" t="s">
        <v>38</v>
      </c>
    </row>
    <row r="196" spans="1:14">
      <c r="A196" s="8" t="s">
        <v>41</v>
      </c>
      <c r="B196" s="8" t="str">
        <f>CONCATENATE(B195,"_number")</f>
        <v>gasto_internet_number</v>
      </c>
      <c r="N196" s="8" t="str">
        <f>CONCATENATE("if(${",B195,"} = 88 or ${",B195,"} = 99, 0, ${",B195,"})")</f>
        <v>if(${gasto_internet} = 88 or ${gasto_internet} = 99, 0, ${gasto_internet})</v>
      </c>
    </row>
    <row r="197" spans="1:14">
      <c r="A197" s="8" t="s">
        <v>36</v>
      </c>
      <c r="B197" s="8" t="s">
        <v>876</v>
      </c>
      <c r="C197" t="s">
        <v>949</v>
      </c>
      <c r="I197" s="8" t="s">
        <v>877</v>
      </c>
    </row>
    <row r="198" spans="1:14" ht="110.25">
      <c r="A198" s="8" t="s">
        <v>45</v>
      </c>
      <c r="B198" s="8" t="s">
        <v>659</v>
      </c>
      <c r="C198" s="9" t="s">
        <v>756</v>
      </c>
      <c r="D198" s="8" t="s">
        <v>644</v>
      </c>
      <c r="K198" s="8" t="s">
        <v>38</v>
      </c>
    </row>
    <row r="199" spans="1:14">
      <c r="A199" s="8" t="s">
        <v>41</v>
      </c>
      <c r="B199" s="8" t="str">
        <f>CONCATENATE(B198,"_number")</f>
        <v>gasto_no_alim_number</v>
      </c>
      <c r="N199" s="8" t="str">
        <f>CONCATENATE("if(${",B198,"} = 88 or ${",B198,"} = 99, 0, ${",B198,"})")</f>
        <v>if(${gasto_no_alim} = 88 or ${gasto_no_alim} = 99, 0, ${gasto_no_alim})</v>
      </c>
    </row>
    <row r="200" spans="1:14">
      <c r="A200" s="8" t="s">
        <v>36</v>
      </c>
      <c r="B200" s="8" t="s">
        <v>660</v>
      </c>
      <c r="C200" t="s">
        <v>950</v>
      </c>
      <c r="I200" s="8" t="s">
        <v>661</v>
      </c>
    </row>
    <row r="201" spans="1:14" ht="94.5">
      <c r="A201" s="8" t="s">
        <v>45</v>
      </c>
      <c r="B201" s="8" t="s">
        <v>674</v>
      </c>
      <c r="C201" s="9" t="s">
        <v>761</v>
      </c>
      <c r="D201" s="8" t="s">
        <v>644</v>
      </c>
      <c r="K201" s="8" t="s">
        <v>38</v>
      </c>
    </row>
    <row r="202" spans="1:14">
      <c r="A202" s="8" t="s">
        <v>41</v>
      </c>
      <c r="B202" s="8" t="str">
        <f>CONCATENATE(B201,"_number")</f>
        <v>gasto_prestamos_number</v>
      </c>
      <c r="N202" s="8" t="str">
        <f>CONCATENATE("if(${",B201,"} = 88 or ${",B201,"} = 99, 0, ${",B201,"})")</f>
        <v>if(${gasto_prestamos} = 88 or ${gasto_prestamos} = 99, 0, ${gasto_prestamos})</v>
      </c>
    </row>
    <row r="203" spans="1:14">
      <c r="A203" s="8" t="s">
        <v>36</v>
      </c>
      <c r="B203" s="8" t="s">
        <v>675</v>
      </c>
      <c r="C203" t="s">
        <v>951</v>
      </c>
      <c r="I203" s="8" t="s">
        <v>676</v>
      </c>
    </row>
    <row r="204" spans="1:14" ht="94.5">
      <c r="A204" s="8" t="s">
        <v>45</v>
      </c>
      <c r="B204" s="8" t="s">
        <v>677</v>
      </c>
      <c r="C204" s="9" t="s">
        <v>762</v>
      </c>
      <c r="D204" s="8" t="s">
        <v>644</v>
      </c>
      <c r="K204" s="8" t="s">
        <v>38</v>
      </c>
    </row>
    <row r="205" spans="1:14">
      <c r="A205" s="8" t="s">
        <v>41</v>
      </c>
      <c r="B205" s="8" t="str">
        <f>CONCATENATE(B204,"_number")</f>
        <v>gasto_inversion_number</v>
      </c>
      <c r="N205" s="8" t="str">
        <f>CONCATENATE("if(${",B204,"} = 88 or ${",B204,"} = 99, 0, ${",B204,"})")</f>
        <v>if(${gasto_inversion} = 88 or ${gasto_inversion} = 99, 0, ${gasto_inversion})</v>
      </c>
    </row>
    <row r="206" spans="1:14">
      <c r="A206" s="8" t="s">
        <v>36</v>
      </c>
      <c r="B206" s="8" t="s">
        <v>678</v>
      </c>
      <c r="C206" t="s">
        <v>952</v>
      </c>
      <c r="I206" s="8" t="s">
        <v>679</v>
      </c>
    </row>
    <row r="207" spans="1:14" ht="94.5">
      <c r="A207" s="8" t="s">
        <v>45</v>
      </c>
      <c r="B207" s="8" t="s">
        <v>680</v>
      </c>
      <c r="C207" s="9" t="s">
        <v>763</v>
      </c>
      <c r="D207" s="8" t="s">
        <v>644</v>
      </c>
      <c r="K207" s="8" t="s">
        <v>38</v>
      </c>
    </row>
    <row r="208" spans="1:14">
      <c r="A208" s="8" t="s">
        <v>41</v>
      </c>
      <c r="B208" s="8" t="str">
        <f>CONCATENATE(B207,"_number")</f>
        <v>gasto_remesas_ven_number</v>
      </c>
      <c r="N208" s="8" t="str">
        <f>CONCATENATE("if(${",B207,"} = 88 or ${",B207,"} = 99, 0, ${",B207,"})")</f>
        <v>if(${gasto_remesas_ven} = 88 or ${gasto_remesas_ven} = 99, 0, ${gasto_remesas_ven})</v>
      </c>
    </row>
    <row r="209" spans="1:14">
      <c r="A209" s="8" t="s">
        <v>36</v>
      </c>
      <c r="B209" s="8" t="s">
        <v>681</v>
      </c>
      <c r="C209" t="s">
        <v>953</v>
      </c>
      <c r="I209" s="8" t="s">
        <v>682</v>
      </c>
    </row>
    <row r="210" spans="1:14" ht="78.75">
      <c r="A210" s="8" t="s">
        <v>45</v>
      </c>
      <c r="B210" s="8" t="s">
        <v>683</v>
      </c>
      <c r="C210" s="9" t="s">
        <v>880</v>
      </c>
      <c r="D210" s="8" t="s">
        <v>644</v>
      </c>
      <c r="K210" s="8" t="s">
        <v>38</v>
      </c>
    </row>
    <row r="211" spans="1:14">
      <c r="A211" s="8" t="s">
        <v>41</v>
      </c>
      <c r="B211" s="8" t="str">
        <f>CONCATENATE(B210,"_number")</f>
        <v>gasto_ahorros_number</v>
      </c>
      <c r="N211" s="8" t="str">
        <f>CONCATENATE("if(${",B210,"} = 88 or ${",B210,"} = 99, 0, ${",B210,"})")</f>
        <v>if(${gasto_ahorros} = 88 or ${gasto_ahorros} = 99, 0, ${gasto_ahorros})</v>
      </c>
    </row>
    <row r="212" spans="1:14">
      <c r="A212" s="8" t="s">
        <v>36</v>
      </c>
      <c r="B212" s="8" t="s">
        <v>684</v>
      </c>
      <c r="C212" t="s">
        <v>954</v>
      </c>
      <c r="I212" s="8" t="s">
        <v>685</v>
      </c>
    </row>
    <row r="213" spans="1:14" ht="78.75">
      <c r="A213" s="8" t="s">
        <v>45</v>
      </c>
      <c r="B213" s="8" t="s">
        <v>686</v>
      </c>
      <c r="C213" s="9" t="s">
        <v>765</v>
      </c>
      <c r="D213" s="8" t="s">
        <v>644</v>
      </c>
      <c r="K213" s="8" t="s">
        <v>38</v>
      </c>
    </row>
    <row r="214" spans="1:14">
      <c r="A214" s="8" t="s">
        <v>41</v>
      </c>
      <c r="B214" s="8" t="str">
        <f>CONCATENATE(B213,"_number")</f>
        <v>gasto_otros_number</v>
      </c>
      <c r="N214" s="8" t="str">
        <f>CONCATENATE("if(${",B213,"} = 88 or ${",B213,"} = 99, 0, ${",B213,"})")</f>
        <v>if(${gasto_otros} = 88 or ${gasto_otros} = 99, 0, ${gasto_otros})</v>
      </c>
    </row>
    <row r="215" spans="1:14">
      <c r="A215" s="8" t="s">
        <v>36</v>
      </c>
      <c r="B215" s="8" t="s">
        <v>687</v>
      </c>
      <c r="C215" t="s">
        <v>955</v>
      </c>
      <c r="I215" s="8" t="s">
        <v>688</v>
      </c>
    </row>
    <row r="216" spans="1:14">
      <c r="A216" s="8" t="s">
        <v>41</v>
      </c>
      <c r="B216" s="8" t="s">
        <v>881</v>
      </c>
      <c r="N216" s="2" t="s">
        <v>882</v>
      </c>
    </row>
    <row r="217" spans="1:14">
      <c r="A217" s="8" t="s">
        <v>41</v>
      </c>
      <c r="B217" s="8" t="s">
        <v>883</v>
      </c>
      <c r="N217" s="2" t="s">
        <v>904</v>
      </c>
    </row>
    <row r="218" spans="1:14" ht="409.5">
      <c r="A218" s="8" t="s">
        <v>887</v>
      </c>
      <c r="B218" s="8" t="s">
        <v>886</v>
      </c>
      <c r="C218" s="9" t="s">
        <v>884</v>
      </c>
      <c r="D218" s="8" t="s">
        <v>885</v>
      </c>
      <c r="I218" s="8" t="s">
        <v>902</v>
      </c>
      <c r="K218" s="8" t="s">
        <v>38</v>
      </c>
      <c r="N218" s="2"/>
    </row>
    <row r="219" spans="1:14">
      <c r="A219" s="8" t="s">
        <v>153</v>
      </c>
      <c r="B219" s="8" t="s">
        <v>717</v>
      </c>
      <c r="N219" s="54" t="s">
        <v>696</v>
      </c>
    </row>
    <row r="220" spans="1:14">
      <c r="A220" s="8" t="s">
        <v>41</v>
      </c>
      <c r="B220" s="8" t="s">
        <v>718</v>
      </c>
      <c r="N220" s="8" t="s">
        <v>719</v>
      </c>
    </row>
    <row r="221" spans="1:14">
      <c r="A221" s="8" t="s">
        <v>46</v>
      </c>
      <c r="B221" s="8" t="s">
        <v>632</v>
      </c>
    </row>
    <row r="222" spans="1:14">
      <c r="A222" s="8" t="s">
        <v>153</v>
      </c>
      <c r="B222" s="8" t="s">
        <v>723</v>
      </c>
      <c r="N222" s="54" t="s">
        <v>696</v>
      </c>
    </row>
    <row r="223" spans="1:14">
      <c r="A223" s="8" t="s">
        <v>41</v>
      </c>
      <c r="B223" s="8" t="s">
        <v>720</v>
      </c>
      <c r="N223" s="8" t="s">
        <v>721</v>
      </c>
    </row>
    <row r="224" spans="1:14">
      <c r="A224" s="8" t="s">
        <v>46</v>
      </c>
      <c r="B224" s="8" t="s">
        <v>292</v>
      </c>
    </row>
    <row r="225" spans="1:11">
      <c r="A225" s="8" t="s">
        <v>36</v>
      </c>
      <c r="B225" s="8" t="s">
        <v>694</v>
      </c>
      <c r="C225" s="9" t="s">
        <v>730</v>
      </c>
    </row>
    <row r="226" spans="1:11" ht="31.5">
      <c r="A226" s="8" t="s">
        <v>43</v>
      </c>
      <c r="B226" s="8" t="s">
        <v>746</v>
      </c>
      <c r="C226" s="9" t="s">
        <v>747</v>
      </c>
      <c r="D226" s="8" t="s">
        <v>748</v>
      </c>
      <c r="K226" s="8" t="s">
        <v>38</v>
      </c>
    </row>
  </sheetData>
  <sheetProtection selectLockedCells="1" selectUnlockedCells="1"/>
  <autoFilter ref="A1:T226" xr:uid="{00000000-0001-0000-0000-000000000000}"/>
  <phoneticPr fontId="1" type="noConversion"/>
  <conditionalFormatting sqref="A1:T4 A9:T19 A20:B20 A21:T21 A22:B22 A23:T24 A25:B39 A40:T44 A45:M45 A48:T51 A52:E54 A55:T62 A65:T66 A67:M67 A68:T77 A79:M79 A80:T82 A83:M84 A85:T88 A89:M90 A91:T92 A93:M93 A94:T125 A126:M126 A127:T129 A130:M130 A155:M156 A157:T158 A159:M159 A160:T194 A219:M219 A220:T221 A222:M223 D20:T20 D22:T22 D25:T39 O45:T45 G52:T54 O67:T67 A78 O79:T79 O83:T84 O89:T90 O93:T93 O126:T126 O130:T130 O155:T156 N156 O159:T159 O219:T219 O222:T223 N223 A131:T154 A198:T218 A224:T1048576">
    <cfRule type="expression" dxfId="567" priority="737" stopIfTrue="1">
      <formula>$A1="note"</formula>
    </cfRule>
    <cfRule type="expression" dxfId="566" priority="739" stopIfTrue="1">
      <formula>$A1="barcode"</formula>
    </cfRule>
    <cfRule type="expression" dxfId="565" priority="741" stopIfTrue="1">
      <formula>$A1="geopoint"</formula>
    </cfRule>
  </conditionalFormatting>
  <conditionalFormatting sqref="A1:T4 A9:T19 A20:B20 A21:T21 A22:B22 A23:T24 A25:B39 A40:T44 A45:M45 A48:T51 A52:E54 A55:T62 A65:T66 A67:M67 A68:T77 A79:M79 A80:T82 A83:M84 A85:T88 A89:M90 A91:T92 A93:M93 A94:T125 A126:M126 A127:T129 A130:M130 A155:M156 A157:T158 A159:M159 A219:M219 A220:T221 A222:M223 D20:T20 D22:T22 D25:T39 O45:T45 G52:T54 O67:T67 A78 O79:T79 O83:T84 O89:T90 O93:T93 O126:T126 O130:T130 O155:T156 N156 O159:T159 O219:T219 O222:T223 N223 A131:T154 A160:T218 A224:T1048576">
    <cfRule type="expression" dxfId="564" priority="727" stopIfTrue="1">
      <formula>OR($A1="audio", $A1="video")</formula>
    </cfRule>
  </conditionalFormatting>
  <conditionalFormatting sqref="A1:T4 A9:T19 A20:B20 D20:T20 A21:T21 A22:B22 D22:T22 A23:T24 A25:B39 D25:T39 A40:T44 A45:M45 A48:T51 A52:E54 A55:T62 A65:T66 A67:M67 A68:T77 A79:M79 A80:T82 A83:M84 A85:T88 A89:M90 A91:T92 A93:M93 A94:T125 A126:M126 A127:T129 A130:M130 A155:M156 A157:T158 A159:M159 A160:T194 A219:M219 A220:T221 A222:M223 O45:T45 G52:T54 O67:T67 A78 O79:T79 O83:T84 O89:T90 O93:T93 O126:T126 O130:T130 O155:T156 N156 O159:T159 O219:T219 O222:T223 N223 A131:T154 A198:T218 A224:T1048576">
    <cfRule type="expression" dxfId="563" priority="729" stopIfTrue="1">
      <formula>$A1="image"</formula>
    </cfRule>
    <cfRule type="expression" dxfId="562" priority="733" stopIfTrue="1">
      <formula>OR($A1="date", $A1="datetime")</formula>
    </cfRule>
    <cfRule type="expression" dxfId="561" priority="743" stopIfTrue="1">
      <formula>OR($A1="audio audit", $A1="text audit")</formula>
    </cfRule>
    <cfRule type="expression" dxfId="560" priority="753" stopIfTrue="1">
      <formula>OR(AND(LEFT($A1, 16)="select_multiple ", LEN($A1)&gt;16, NOT(ISNUMBER(SEARCH(" ", $A1, 17)))), AND(LEFT($A1, 11)="select_one ", LEN($A1)&gt;11, NOT(ISNUMBER(SEARCH(" ", $A1, 12)))))</formula>
    </cfRule>
    <cfRule type="expression" dxfId="559" priority="762" stopIfTrue="1">
      <formula>$A1="text"</formula>
    </cfRule>
  </conditionalFormatting>
  <conditionalFormatting sqref="A1:T4 A9:T19 A20:B20 D20:T20 A21:T21 A22:B22 D22:T22 A23:T24 A25:B39 D25:T39 A40:T44 A45:M45 A48:T51 A52:E54 G52:T54 A55:T62 A65:T66 A67:M67 A68:T77 A79:M79 A80:T82 A83:M84 A85:T88 A89:M90 A91:T92 A93:M93 A94:T125 A126:M126 A127:T129 A130:M130 A155:M156 A157:T158 A159:M159 A160:T194 A219:M219 A220:T221 A222:M223 O45:T45 O67:T67 A78 O79:T79 O83:T84 O89:T90 O93:T93 O126:T126 O130:T130 O155:T156 N156 O159:T159 O219:T219 O222:T223 N223 A131:T154 A198:T218 A224:T1048576">
    <cfRule type="expression" dxfId="558" priority="758" stopIfTrue="1">
      <formula>$A1="decimal"</formula>
    </cfRule>
    <cfRule type="expression" dxfId="557" priority="760" stopIfTrue="1">
      <formula>$A1="integer"</formula>
    </cfRule>
    <cfRule type="expression" dxfId="556" priority="768" stopIfTrue="1">
      <formula>$A1="begin group"</formula>
    </cfRule>
  </conditionalFormatting>
  <conditionalFormatting sqref="A1:T4 A9:T19 A20:B20 D20:T20 A21:T21 A22:B22 D22:T22 A23:T24 A25:B39 D25:T39 A40:T44 A45:M45 A48:T51 A52:E54 G52:T54 A55:T62 A65:T66 A67:M67 A68:T77 A79:M79 A80:T82 A83:M84 A85:T88 A89:M90 A91:T92 A93:M93 A94:T125 A126:M126 A127:T129 A130:M130 A155:M156 N156 A157:T158 A159:M159 A160:T194 A219:M219 A220:T221 A222:M223 N223 O45:T45 O67:T67 A78 O79:T79 O83:T84 O89:T90 O93:T93 O126:T126 O130:T130 O155:T156 O159:T159 O219:T219 O222:T223 A131:T154 A198:T218 A224:T1048576">
    <cfRule type="expression" dxfId="555" priority="735" stopIfTrue="1">
      <formula>OR($A1="calculate", $A1="calculate_here")</formula>
    </cfRule>
  </conditionalFormatting>
  <conditionalFormatting sqref="A1:T4 A9:T19 A20:B20 D20:T20 A21:T21 A22:B22 D22:T22 A23:T24 A25:B39 D25:T39 A40:T44 A45:M45 O45:T45 A48:T51 A52:E54 G52:T54 A55:T62 A65:T66 A67:M67 O67:T67 A68:T77 A78 A79:M79 O79:T79 A80:T82 A83:M84 O83:T84 A85:T88 A89:M90 O89:T90 A91:T92 A93:M93 O93:T93 A94:T125 A126:M126 O126:T126 A127:T129 A130:M130 O130:T130 A155:M156 O155:T156 N156 A157:T158 A159:M159 O159:T159 A160:T194 A219:M219 O219:T219 A220:T221 A222:M223 O222:T223 N223 A131:T154 A198:T218 A224:T1048576">
    <cfRule type="expression" dxfId="554" priority="746" stopIfTrue="1">
      <formula>OR($A1="username", $A1="phonenumber", $A1="start", $A1="end", $A1="deviceid", $A1="subscriberid", $A1="simserial")</formula>
    </cfRule>
    <cfRule type="expression" dxfId="553" priority="763" stopIfTrue="1">
      <formula>$A1="end repeat"</formula>
    </cfRule>
    <cfRule type="expression" dxfId="552" priority="766" stopIfTrue="1">
      <formula>$A1="end group"</formula>
    </cfRule>
  </conditionalFormatting>
  <conditionalFormatting sqref="A1:T4 A9:T19 A20:B20 D20:T20 A21:T21 A22:B22 D22:T22 A23:T24 A25:B39 D25:T39 A40:T44 A45:M45 O45:T45 A48:T51 A52:E54 G52:T54 A55:T62 A65:T66 A67:M67 O67:T67 A68:T77 A79:M79 O79:T79 A80:T82 A83:M84 O83:T84 A85:T88 A89:M90 O89:T90 A91:T92 A93:M93 O93:T93 A94:T125 A126:M126 O126:T126 A127:T129 A130:M130 O130:T130 A155:M156 O155:T156 A157:T158 A159:M159 O159:T159 A160:T194 A219:M219 O219:T219 A220:T221 A222:M223 O222:T223 A78 N156 N223 A131:T154 A198:T218 A224:T1048576">
    <cfRule type="expression" dxfId="551" priority="765" stopIfTrue="1">
      <formula>$A1="begin repeat"</formula>
    </cfRule>
  </conditionalFormatting>
  <conditionalFormatting sqref="A195:T197">
    <cfRule type="expression" dxfId="550" priority="4" stopIfTrue="1">
      <formula>$A195="image"</formula>
    </cfRule>
    <cfRule type="expression" dxfId="549" priority="5" stopIfTrue="1">
      <formula>OR($A195="date", $A195="datetime")</formula>
    </cfRule>
    <cfRule type="expression" dxfId="548" priority="6" stopIfTrue="1">
      <formula>OR($A195="calculate", $A195="calculate_here")</formula>
    </cfRule>
    <cfRule type="expression" dxfId="547" priority="8" stopIfTrue="1">
      <formula>$A195="note"</formula>
    </cfRule>
    <cfRule type="expression" dxfId="546" priority="10" stopIfTrue="1">
      <formula>$A195="barcode"</formula>
    </cfRule>
    <cfRule type="expression" dxfId="545" priority="12" stopIfTrue="1">
      <formula>$A195="geopoint"</formula>
    </cfRule>
    <cfRule type="expression" dxfId="544" priority="13" stopIfTrue="1">
      <formula>OR($A195="audio audit", $A195="text audit")</formula>
    </cfRule>
    <cfRule type="expression" dxfId="543" priority="14" stopIfTrue="1">
      <formula>OR($A195="username", $A195="phonenumber", $A195="start", $A195="end", $A195="deviceid", $A195="subscriberid", $A195="simserial")</formula>
    </cfRule>
    <cfRule type="expression" dxfId="542" priority="15" stopIfTrue="1">
      <formula>OR(AND(LEFT($A195, 16)="select_multiple ", LEN($A195)&gt;16, NOT(ISNUMBER(SEARCH(" ", $A195, 17)))), AND(LEFT($A195, 11)="select_one ", LEN($A195)&gt;11, NOT(ISNUMBER(SEARCH(" ", $A195, 12)))))</formula>
    </cfRule>
    <cfRule type="expression" dxfId="541" priority="17" stopIfTrue="1">
      <formula>$A195="decimal"</formula>
    </cfRule>
    <cfRule type="expression" dxfId="540" priority="19" stopIfTrue="1">
      <formula>$A195="integer"</formula>
    </cfRule>
    <cfRule type="expression" dxfId="539" priority="20" stopIfTrue="1">
      <formula>$A195="text"</formula>
    </cfRule>
    <cfRule type="expression" dxfId="538" priority="21" stopIfTrue="1">
      <formula>$A195="end repeat"</formula>
    </cfRule>
    <cfRule type="expression" dxfId="537" priority="22" stopIfTrue="1">
      <formula>$A195="begin repeat"</formula>
    </cfRule>
    <cfRule type="expression" dxfId="536" priority="23" stopIfTrue="1">
      <formula>$A195="end group"</formula>
    </cfRule>
    <cfRule type="expression" dxfId="535" priority="24" stopIfTrue="1">
      <formula>$A195="begin group"</formula>
    </cfRule>
  </conditionalFormatting>
  <conditionalFormatting sqref="A5:W8">
    <cfRule type="expression" dxfId="534" priority="489" stopIfTrue="1">
      <formula>$A5="note"</formula>
    </cfRule>
    <cfRule type="expression" dxfId="533" priority="490" stopIfTrue="1">
      <formula>OR(AND(LEFT($A5, 14)="sensor_stream ", LEN($A5)&gt;14, NOT(ISNUMBER(SEARCH(" ", $A5, 15)))), AND(LEFT($A5, 17)="sensor_statistic ", LEN($A5)&gt;17, NOT(ISNUMBER(SEARCH(" ", $A5, 18)))))</formula>
    </cfRule>
    <cfRule type="expression" dxfId="532" priority="491" stopIfTrue="1">
      <formula>$A5="comments"</formula>
    </cfRule>
    <cfRule type="expression" dxfId="531" priority="492" stopIfTrue="1">
      <formula>OR($A5="audio", $A5="video")</formula>
    </cfRule>
    <cfRule type="expression" dxfId="530" priority="493" stopIfTrue="1">
      <formula>$A5="image"</formula>
    </cfRule>
    <cfRule type="expression" dxfId="529" priority="494" stopIfTrue="1">
      <formula>OR($A5="date", $A5="datetime", $A5="time")</formula>
    </cfRule>
    <cfRule type="expression" dxfId="528" priority="495" stopIfTrue="1">
      <formula>$A5="enumerator"</formula>
    </cfRule>
    <cfRule type="expression" dxfId="527" priority="496" stopIfTrue="1">
      <formula>$A5="file"</formula>
    </cfRule>
    <cfRule type="expression" dxfId="526" priority="497" stopIfTrue="1">
      <formula>$A5="integer"</formula>
    </cfRule>
    <cfRule type="expression" dxfId="525" priority="498" stopIfTrue="1">
      <formula>$A5="begin repeat"</formula>
    </cfRule>
    <cfRule type="expression" dxfId="524" priority="499" stopIfTrue="1">
      <formula>OR($A5="username", $A5="phonenumber", $A5="start", $A5="end", $A5="deviceid", $A5="subscriberid", $A5="simserial", $A5="caseid")</formula>
    </cfRule>
    <cfRule type="expression" dxfId="523" priority="500" stopIfTrue="1">
      <formula>$A5="end repeat"</formula>
    </cfRule>
    <cfRule type="expression" dxfId="522" priority="501" stopIfTrue="1">
      <formula>$A5="end group"</formula>
    </cfRule>
    <cfRule type="expression" dxfId="521" priority="502" stopIfTrue="1">
      <formula>$A5="barcode"</formula>
    </cfRule>
    <cfRule type="expression" dxfId="520" priority="503" stopIfTrue="1">
      <formula>OR($A5="geopoint", $A5="geoshape", $A5="geotrace")</formula>
    </cfRule>
    <cfRule type="expression" dxfId="519" priority="504" stopIfTrue="1">
      <formula>OR($A5="audio audit", $A5="text audit", $A5="speed violations count", $A5="speed violations list", $A5="speed violations audit")</formula>
    </cfRule>
    <cfRule type="expression" dxfId="518" priority="505" stopIfTrue="1">
      <formula>OR(AND(LEFT($A5, 16)="select_multiple ", LEN($A5)&gt;16, NOT(ISNUMBER(SEARCH(" ", $A5, 17)))), AND(LEFT($A5, 11)="select_one ", LEN($A5)&gt;11, NOT(ISNUMBER(SEARCH(" ", $A5, 12)))))</formula>
    </cfRule>
    <cfRule type="expression" dxfId="517" priority="506" stopIfTrue="1">
      <formula>$A5="text"</formula>
    </cfRule>
    <cfRule type="expression" dxfId="516" priority="507" stopIfTrue="1">
      <formula>OR($A5="calculate", $A5="calculate_here")</formula>
    </cfRule>
    <cfRule type="expression" dxfId="515" priority="508" stopIfTrue="1">
      <formula>$A5="begin group"</formula>
    </cfRule>
    <cfRule type="expression" dxfId="514" priority="509" stopIfTrue="1">
      <formula>$A5="decimal"</formula>
    </cfRule>
  </conditionalFormatting>
  <conditionalFormatting sqref="B1:B4 F1:F4 F9:F45 B9:B77 F48:F51 F55:F62 F65:F77 B79:B1048576 F79:F1048576">
    <cfRule type="expression" dxfId="513" priority="742" stopIfTrue="1">
      <formula>OR($A1="audio audit", $A1="text audit")</formula>
    </cfRule>
  </conditionalFormatting>
  <conditionalFormatting sqref="B1:B4 N1:N4 N9:N44 B9:B77 N48:N62 N65:N66 N68:N77 N80:N82 N85:N88 N91:N92 N94:N125 N127:N129 N156:N158 N220:N221 N131:N154 N160:N218 B79:B1048576 N223:N1048576">
    <cfRule type="expression" dxfId="512" priority="734" stopIfTrue="1">
      <formula>OR($A1="calculate", $A1="calculate_here")</formula>
    </cfRule>
  </conditionalFormatting>
  <conditionalFormatting sqref="B5:B8 F5:F8">
    <cfRule type="expression" dxfId="511" priority="510" stopIfTrue="1">
      <formula>OR($A5="audio audit", $A5="text audit", $A5="speed violations count", $A5="speed violations list", $A5="speed violations audit")</formula>
    </cfRule>
    <cfRule type="expression" dxfId="510" priority="513" stopIfTrue="1">
      <formula>OR(AND(LEFT($A5, 14)="sensor_stream ", LEN($A5)&gt;14, NOT(ISNUMBER(SEARCH(" ", $A5, 15)))), AND(LEFT($A5, 17)="sensor_statistic ", LEN($A5)&gt;17, NOT(ISNUMBER(SEARCH(" ", $A5, 18)))))</formula>
    </cfRule>
  </conditionalFormatting>
  <conditionalFormatting sqref="B5:B8 N5:N8">
    <cfRule type="expression" dxfId="509" priority="511" stopIfTrue="1">
      <formula>OR($A5="calculate", $A5="calculate_here")</formula>
    </cfRule>
  </conditionalFormatting>
  <conditionalFormatting sqref="B5:B8">
    <cfRule type="expression" dxfId="508" priority="512" stopIfTrue="1">
      <formula>$A5="comments"</formula>
    </cfRule>
  </conditionalFormatting>
  <conditionalFormatting sqref="B46:B47">
    <cfRule type="expression" dxfId="507" priority="695" stopIfTrue="1">
      <formula>OR($A46="audio", $A46="video")</formula>
    </cfRule>
    <cfRule type="expression" dxfId="506" priority="696" stopIfTrue="1">
      <formula>OR($A46="audio", $A46="video")</formula>
    </cfRule>
    <cfRule type="expression" dxfId="505" priority="697" stopIfTrue="1">
      <formula>$A46="image"</formula>
    </cfRule>
    <cfRule type="expression" dxfId="504" priority="698" stopIfTrue="1">
      <formula>$A46="image"</formula>
    </cfRule>
    <cfRule type="expression" dxfId="503" priority="699" stopIfTrue="1">
      <formula>OR($A46="date", $A46="datetime")</formula>
    </cfRule>
    <cfRule type="expression" dxfId="502" priority="700" stopIfTrue="1">
      <formula>OR($A46="date", $A46="datetime")</formula>
    </cfRule>
    <cfRule type="expression" dxfId="501" priority="701" stopIfTrue="1">
      <formula>OR($A46="calculate", $A46="calculate_here")</formula>
    </cfRule>
    <cfRule type="expression" dxfId="500" priority="702" stopIfTrue="1">
      <formula>$A46="note"</formula>
    </cfRule>
    <cfRule type="expression" dxfId="499" priority="703" stopIfTrue="1">
      <formula>$A46="note"</formula>
    </cfRule>
    <cfRule type="expression" dxfId="498" priority="704" stopIfTrue="1">
      <formula>$A46="barcode"</formula>
    </cfRule>
    <cfRule type="expression" dxfId="497" priority="705" stopIfTrue="1">
      <formula>$A46="barcode"</formula>
    </cfRule>
    <cfRule type="expression" dxfId="496" priority="706" stopIfTrue="1">
      <formula>$A46="geopoint"</formula>
    </cfRule>
    <cfRule type="expression" dxfId="495" priority="707" stopIfTrue="1">
      <formula>$A46="geopoint"</formula>
    </cfRule>
    <cfRule type="expression" dxfId="494" priority="708" stopIfTrue="1">
      <formula>OR($A46="audio audit", $A46="text audit")</formula>
    </cfRule>
    <cfRule type="expression" dxfId="493" priority="709" stopIfTrue="1">
      <formula>OR($A46="username", $A46="phonenumber", $A46="start", $A46="end", $A46="deviceid", $A46="subscriberid", $A46="simserial")</formula>
    </cfRule>
    <cfRule type="expression" dxfId="492" priority="710" stopIfTrue="1">
      <formula>OR(AND(LEFT($A46, 16)="select_multiple ", LEN($A46)&gt;16, NOT(ISNUMBER(SEARCH(" ", $A46, 17)))), AND(LEFT($A46, 11)="select_one ", LEN($A46)&gt;11, NOT(ISNUMBER(SEARCH(" ", $A46, 12)))))</formula>
    </cfRule>
    <cfRule type="expression" dxfId="491" priority="711" stopIfTrue="1">
      <formula>OR(AND(LEFT($A46, 16)="select_multiple ", LEN($A46)&gt;16, NOT(ISNUMBER(SEARCH(" ", $A46, 17)))), AND(LEFT($A46, 11)="select_one ", LEN($A46)&gt;11, NOT(ISNUMBER(SEARCH(" ", $A46, 12)))))</formula>
    </cfRule>
    <cfRule type="expression" dxfId="490" priority="712" stopIfTrue="1">
      <formula>$A46="decimal"</formula>
    </cfRule>
    <cfRule type="expression" dxfId="489" priority="713" stopIfTrue="1">
      <formula>$A46="decimal"</formula>
    </cfRule>
    <cfRule type="expression" dxfId="488" priority="714" stopIfTrue="1">
      <formula>$A46="integer"</formula>
    </cfRule>
    <cfRule type="expression" dxfId="487" priority="715" stopIfTrue="1">
      <formula>$A46="integer"</formula>
    </cfRule>
    <cfRule type="expression" dxfId="486" priority="716" stopIfTrue="1">
      <formula>$A46="text"</formula>
    </cfRule>
    <cfRule type="expression" dxfId="485" priority="717" stopIfTrue="1">
      <formula>$A46="text"</formula>
    </cfRule>
    <cfRule type="expression" dxfId="484" priority="718" stopIfTrue="1">
      <formula>$A46="end repeat"</formula>
    </cfRule>
    <cfRule type="expression" dxfId="483" priority="719" stopIfTrue="1">
      <formula>$A46="begin repeat"</formula>
    </cfRule>
    <cfRule type="expression" dxfId="482" priority="720" stopIfTrue="1">
      <formula>$A46="begin repeat"</formula>
    </cfRule>
    <cfRule type="expression" dxfId="481" priority="721" stopIfTrue="1">
      <formula>$A46="end group"</formula>
    </cfRule>
    <cfRule type="expression" dxfId="480" priority="722" stopIfTrue="1">
      <formula>$A46="begin group"</formula>
    </cfRule>
    <cfRule type="expression" dxfId="479" priority="723" stopIfTrue="1">
      <formula>$A46="begin group"</formula>
    </cfRule>
  </conditionalFormatting>
  <conditionalFormatting sqref="B63:B64">
    <cfRule type="expression" dxfId="478" priority="368" stopIfTrue="1">
      <formula>OR($A63="audio", $A63="video")</formula>
    </cfRule>
    <cfRule type="expression" dxfId="477" priority="369" stopIfTrue="1">
      <formula>OR($A63="audio", $A63="video")</formula>
    </cfRule>
    <cfRule type="expression" dxfId="476" priority="370" stopIfTrue="1">
      <formula>$A63="image"</formula>
    </cfRule>
    <cfRule type="expression" dxfId="475" priority="371" stopIfTrue="1">
      <formula>$A63="image"</formula>
    </cfRule>
    <cfRule type="expression" dxfId="474" priority="372" stopIfTrue="1">
      <formula>OR($A63="date", $A63="datetime")</formula>
    </cfRule>
    <cfRule type="expression" dxfId="473" priority="373" stopIfTrue="1">
      <formula>OR($A63="date", $A63="datetime")</formula>
    </cfRule>
    <cfRule type="expression" dxfId="472" priority="374" stopIfTrue="1">
      <formula>OR($A63="calculate", $A63="calculate_here")</formula>
    </cfRule>
    <cfRule type="expression" dxfId="471" priority="375" stopIfTrue="1">
      <formula>$A63="note"</formula>
    </cfRule>
    <cfRule type="expression" dxfId="470" priority="376" stopIfTrue="1">
      <formula>$A63="note"</formula>
    </cfRule>
    <cfRule type="expression" dxfId="469" priority="377" stopIfTrue="1">
      <formula>$A63="barcode"</formula>
    </cfRule>
    <cfRule type="expression" dxfId="468" priority="378" stopIfTrue="1">
      <formula>$A63="barcode"</formula>
    </cfRule>
    <cfRule type="expression" dxfId="467" priority="379" stopIfTrue="1">
      <formula>$A63="geopoint"</formula>
    </cfRule>
    <cfRule type="expression" dxfId="466" priority="380" stopIfTrue="1">
      <formula>$A63="geopoint"</formula>
    </cfRule>
    <cfRule type="expression" dxfId="465" priority="381" stopIfTrue="1">
      <formula>OR($A63="audio audit", $A63="text audit")</formula>
    </cfRule>
    <cfRule type="expression" dxfId="464" priority="382" stopIfTrue="1">
      <formula>OR($A63="username", $A63="phonenumber", $A63="start", $A63="end", $A63="deviceid", $A63="subscriberid", $A63="simserial")</formula>
    </cfRule>
    <cfRule type="expression" dxfId="463" priority="383" stopIfTrue="1">
      <formula>OR(AND(LEFT($A63, 16)="select_multiple ", LEN($A63)&gt;16, NOT(ISNUMBER(SEARCH(" ", $A63, 17)))), AND(LEFT($A63, 11)="select_one ", LEN($A63)&gt;11, NOT(ISNUMBER(SEARCH(" ", $A63, 12)))))</formula>
    </cfRule>
    <cfRule type="expression" dxfId="462" priority="384" stopIfTrue="1">
      <formula>OR(AND(LEFT($A63, 16)="select_multiple ", LEN($A63)&gt;16, NOT(ISNUMBER(SEARCH(" ", $A63, 17)))), AND(LEFT($A63, 11)="select_one ", LEN($A63)&gt;11, NOT(ISNUMBER(SEARCH(" ", $A63, 12)))))</formula>
    </cfRule>
    <cfRule type="expression" dxfId="461" priority="385" stopIfTrue="1">
      <formula>$A63="decimal"</formula>
    </cfRule>
    <cfRule type="expression" dxfId="460" priority="386" stopIfTrue="1">
      <formula>$A63="decimal"</formula>
    </cfRule>
    <cfRule type="expression" dxfId="459" priority="387" stopIfTrue="1">
      <formula>$A63="integer"</formula>
    </cfRule>
    <cfRule type="expression" dxfId="458" priority="388" stopIfTrue="1">
      <formula>$A63="integer"</formula>
    </cfRule>
    <cfRule type="expression" dxfId="457" priority="389" stopIfTrue="1">
      <formula>$A63="text"</formula>
    </cfRule>
    <cfRule type="expression" dxfId="456" priority="390" stopIfTrue="1">
      <formula>$A63="text"</formula>
    </cfRule>
    <cfRule type="expression" dxfId="455" priority="391" stopIfTrue="1">
      <formula>$A63="end repeat"</formula>
    </cfRule>
    <cfRule type="expression" dxfId="454" priority="392" stopIfTrue="1">
      <formula>$A63="begin repeat"</formula>
    </cfRule>
    <cfRule type="expression" dxfId="453" priority="393" stopIfTrue="1">
      <formula>$A63="begin repeat"</formula>
    </cfRule>
    <cfRule type="expression" dxfId="452" priority="394" stopIfTrue="1">
      <formula>$A63="end group"</formula>
    </cfRule>
    <cfRule type="expression" dxfId="451" priority="395" stopIfTrue="1">
      <formula>$A63="begin group"</formula>
    </cfRule>
    <cfRule type="expression" dxfId="450" priority="396" stopIfTrue="1">
      <formula>$A63="begin group"</formula>
    </cfRule>
  </conditionalFormatting>
  <conditionalFormatting sqref="B1:C4 B9:C19 B20 B21:C21 B22 B23:C24 B25:B39 B40:C45 B48:C62 B65:C77 B79:C194 B198:C1048576">
    <cfRule type="expression" dxfId="449" priority="736" stopIfTrue="1">
      <formula>$A1="note"</formula>
    </cfRule>
    <cfRule type="expression" dxfId="448" priority="738" stopIfTrue="1">
      <formula>$A1="barcode"</formula>
    </cfRule>
    <cfRule type="expression" dxfId="447" priority="740" stopIfTrue="1">
      <formula>$A1="geopoint"</formula>
    </cfRule>
  </conditionalFormatting>
  <conditionalFormatting sqref="B1:C4 F1:F4 B9:C19 F9:F45 B20 B21:C21 B22 B23:C24 B25:B39 B40:C45 F48:F51 B48:C62 F55:F62 B65:C77 F65:F77 B79:C1048576 F79:F1048576">
    <cfRule type="expression" dxfId="446" priority="728" stopIfTrue="1">
      <formula>$A1="image"</formula>
    </cfRule>
    <cfRule type="expression" dxfId="445" priority="732" stopIfTrue="1">
      <formula>OR($A1="date", $A1="datetime")</formula>
    </cfRule>
    <cfRule type="expression" dxfId="444" priority="752" stopIfTrue="1">
      <formula>OR(AND(LEFT($A1, 16)="select_multiple ", LEN($A1)&gt;16, NOT(ISNUMBER(SEARCH(" ", $A1, 17)))), AND(LEFT($A1, 11)="select_one ", LEN($A1)&gt;11, NOT(ISNUMBER(SEARCH(" ", $A1, 12)))))</formula>
    </cfRule>
  </conditionalFormatting>
  <conditionalFormatting sqref="B1:C4 F1:F4 I1:I4 B9:C19 F9:F45 I9:I45 B20 B21:C21 B22 B23:C24 B25:B39 B40:C45 F48:F51 B48:C62 I48:I62 F55:F62 B65:C77 F65:F77 I65:I77 B79:C1048576 F79:F1048576 I79:I1048576">
    <cfRule type="expression" dxfId="443" priority="767" stopIfTrue="1">
      <formula>$A1="begin group"</formula>
    </cfRule>
  </conditionalFormatting>
  <conditionalFormatting sqref="B1:C4 I1:I4 O1:O4 B9:C19 I9:I45 O9:O45 B20 B21:C21 B22 B23:C24 B25:B39 B40:C45 B48:C62 I48:I62 O48:O62 B65:C77 I65:I77 O65:O77 B79:C1048576 I79:I1048576 O79:O1048576">
    <cfRule type="expression" dxfId="442" priority="764" stopIfTrue="1">
      <formula>$A1="begin repeat"</formula>
    </cfRule>
  </conditionalFormatting>
  <conditionalFormatting sqref="B5:C8 F5:F8 I5:I8">
    <cfRule type="expression" dxfId="441" priority="523" stopIfTrue="1">
      <formula>$A5="begin group"</formula>
    </cfRule>
  </conditionalFormatting>
  <conditionalFormatting sqref="B5:C8 F5:F8">
    <cfRule type="expression" dxfId="440" priority="520" stopIfTrue="1">
      <formula>$A5="image"</formula>
    </cfRule>
    <cfRule type="expression" dxfId="439" priority="521" stopIfTrue="1">
      <formula>OR(AND(LEFT($A5, 16)="select_multiple ", LEN($A5)&gt;16, NOT(ISNUMBER(SEARCH(" ", $A5, 17)))), AND(LEFT($A5, 11)="select_one ", LEN($A5)&gt;11, NOT(ISNUMBER(SEARCH(" ", $A5, 12)))))</formula>
    </cfRule>
    <cfRule type="expression" dxfId="438" priority="522" stopIfTrue="1">
      <formula>OR($A5="date", $A5="datetime", $A5="time")</formula>
    </cfRule>
  </conditionalFormatting>
  <conditionalFormatting sqref="B5:C8 I5:I8 O5:O8">
    <cfRule type="expression" dxfId="437" priority="514" stopIfTrue="1">
      <formula>$A5="begin repeat"</formula>
    </cfRule>
  </conditionalFormatting>
  <conditionalFormatting sqref="B5:C8">
    <cfRule type="expression" dxfId="436" priority="515" stopIfTrue="1">
      <formula>$A5="note"</formula>
    </cfRule>
    <cfRule type="expression" dxfId="435" priority="516" stopIfTrue="1">
      <formula>$A5="barcode"</formula>
    </cfRule>
    <cfRule type="expression" dxfId="434" priority="517" stopIfTrue="1">
      <formula>OR($A5="geopoint", $A5="geoshape", $A5="geotrace")</formula>
    </cfRule>
    <cfRule type="expression" dxfId="433" priority="518" stopIfTrue="1">
      <formula>OR($A5="audio", $A5="video")</formula>
    </cfRule>
    <cfRule type="expression" dxfId="432" priority="519" stopIfTrue="1">
      <formula>$A5="file"</formula>
    </cfRule>
  </conditionalFormatting>
  <conditionalFormatting sqref="B1:C4 B9:C19 B20 B21:C21 B22 B23:C24 B25:B39 B40:C45 B48:C62 B65:C77 B79:C1048576">
    <cfRule type="expression" dxfId="431" priority="726" stopIfTrue="1">
      <formula>OR($A1="audio", $A1="video")</formula>
    </cfRule>
  </conditionalFormatting>
  <conditionalFormatting sqref="B195:C197">
    <cfRule type="expression" dxfId="430" priority="7" stopIfTrue="1">
      <formula>$A195="note"</formula>
    </cfRule>
    <cfRule type="expression" dxfId="429" priority="9" stopIfTrue="1">
      <formula>$A195="barcode"</formula>
    </cfRule>
    <cfRule type="expression" dxfId="428" priority="11" stopIfTrue="1">
      <formula>$A195="geopoint"</formula>
    </cfRule>
  </conditionalFormatting>
  <conditionalFormatting sqref="B1:D4 F1:F4 B9:D19 F9:F45 B20 D20 B21:D21 B22 D22 B23:D24 B25:B39 D25:D39 B40:D45 F48:F51 B48:D62 F55:F62 B65:D77 F65:F77 B79:D1048576 F79:F1048576">
    <cfRule type="expression" dxfId="427" priority="761" stopIfTrue="1">
      <formula>$A1="text"</formula>
    </cfRule>
  </conditionalFormatting>
  <conditionalFormatting sqref="B1:D4 G1:H4 B9:D19 G9:H45 B20 D20 B21:D21 B22 D22 B23:D24 B25:B39 D25:D39 B40:D45 B48:D62 G48:H62 B65:D77 G65:H77 B79:D194 G79:H194 B198:D1048576 G198:H1048576">
    <cfRule type="expression" dxfId="426" priority="757" stopIfTrue="1">
      <formula>$A1="decimal"</formula>
    </cfRule>
    <cfRule type="expression" dxfId="425" priority="759" stopIfTrue="1">
      <formula>$A1="integer"</formula>
    </cfRule>
  </conditionalFormatting>
  <conditionalFormatting sqref="B5:D8 F5:F8">
    <cfRule type="expression" dxfId="424" priority="524" stopIfTrue="1">
      <formula>$A5="text"</formula>
    </cfRule>
    <cfRule type="expression" dxfId="423" priority="525" stopIfTrue="1">
      <formula>$A5="enumerator"</formula>
    </cfRule>
  </conditionalFormatting>
  <conditionalFormatting sqref="B5:D8 G5:H8">
    <cfRule type="expression" dxfId="422" priority="526" stopIfTrue="1">
      <formula>$A5="decimal"</formula>
    </cfRule>
    <cfRule type="expression" dxfId="421" priority="527" stopIfTrue="1">
      <formula>$A5="integer"</formula>
    </cfRule>
  </conditionalFormatting>
  <conditionalFormatting sqref="B195:D197 G195:H197">
    <cfRule type="expression" dxfId="420" priority="16" stopIfTrue="1">
      <formula>$A195="decimal"</formula>
    </cfRule>
    <cfRule type="expression" dxfId="419" priority="18" stopIfTrue="1">
      <formula>$A195="integer"</formula>
    </cfRule>
  </conditionalFormatting>
  <conditionalFormatting sqref="C20 C22 C25:C39">
    <cfRule type="expression" dxfId="418" priority="656" stopIfTrue="1">
      <formula>$A20="note"</formula>
    </cfRule>
    <cfRule type="expression" dxfId="417" priority="657" stopIfTrue="1">
      <formula>OR(AND(LEFT($A20, 14)="sensor_stream ", LEN($A20)&gt;14, NOT(ISNUMBER(SEARCH(" ", $A20, 15)))), AND(LEFT($A20, 17)="sensor_statistic ", LEN($A20)&gt;17, NOT(ISNUMBER(SEARCH(" ", $A20, 18)))))</formula>
    </cfRule>
    <cfRule type="expression" dxfId="416" priority="658" stopIfTrue="1">
      <formula>$A20="comments"</formula>
    </cfRule>
    <cfRule type="expression" dxfId="415" priority="659" stopIfTrue="1">
      <formula>OR($A20="audio", $A20="video")</formula>
    </cfRule>
    <cfRule type="expression" dxfId="414" priority="660" stopIfTrue="1">
      <formula>$A20="image"</formula>
    </cfRule>
    <cfRule type="expression" dxfId="413" priority="661" stopIfTrue="1">
      <formula>OR($A20="date", $A20="datetime", $A20="time")</formula>
    </cfRule>
    <cfRule type="expression" dxfId="412" priority="662" stopIfTrue="1">
      <formula>$A20="enumerator"</formula>
    </cfRule>
    <cfRule type="expression" dxfId="411" priority="663" stopIfTrue="1">
      <formula>$A20="file"</formula>
    </cfRule>
    <cfRule type="expression" dxfId="410" priority="664" stopIfTrue="1">
      <formula>$A20="integer"</formula>
    </cfRule>
    <cfRule type="expression" dxfId="409" priority="665" stopIfTrue="1">
      <formula>$A20="begin repeat"</formula>
    </cfRule>
    <cfRule type="expression" dxfId="408" priority="666" stopIfTrue="1">
      <formula>OR($A20="username", $A20="phonenumber", $A20="start", $A20="end", $A20="deviceid", $A20="subscriberid", $A20="simserial", $A20="caseid")</formula>
    </cfRule>
    <cfRule type="expression" dxfId="407" priority="667" stopIfTrue="1">
      <formula>$A20="end repeat"</formula>
    </cfRule>
    <cfRule type="expression" dxfId="406" priority="668" stopIfTrue="1">
      <formula>$A20="end group"</formula>
    </cfRule>
    <cfRule type="expression" dxfId="405" priority="669" stopIfTrue="1">
      <formula>$A20="barcode"</formula>
    </cfRule>
    <cfRule type="expression" dxfId="404" priority="670" stopIfTrue="1">
      <formula>OR($A20="geopoint", $A20="geoshape", $A20="geotrace")</formula>
    </cfRule>
    <cfRule type="expression" dxfId="403" priority="671" stopIfTrue="1">
      <formula>OR($A20="audio audit", $A20="text audit", $A20="speed violations count", $A20="speed violations list", $A20="speed violations audit")</formula>
    </cfRule>
    <cfRule type="expression" dxfId="402" priority="672" stopIfTrue="1">
      <formula>OR(AND(LEFT($A20, 16)="select_multiple ", LEN($A20)&gt;16, NOT(ISNUMBER(SEARCH(" ", $A20, 17)))), AND(LEFT($A20, 11)="select_one ", LEN($A20)&gt;11, NOT(ISNUMBER(SEARCH(" ", $A20, 12)))))</formula>
    </cfRule>
    <cfRule type="expression" dxfId="401" priority="673" stopIfTrue="1">
      <formula>$A20="text"</formula>
    </cfRule>
    <cfRule type="expression" dxfId="400" priority="674" stopIfTrue="1">
      <formula>OR($A20="calculate", $A20="calculate_here")</formula>
    </cfRule>
    <cfRule type="expression" dxfId="399" priority="675" stopIfTrue="1">
      <formula>$A20="begin group"</formula>
    </cfRule>
    <cfRule type="expression" dxfId="398" priority="676" stopIfTrue="1">
      <formula>$A20="decimal"</formula>
    </cfRule>
    <cfRule type="expression" dxfId="397" priority="681" stopIfTrue="1">
      <formula>$A20="begin repeat"</formula>
    </cfRule>
    <cfRule type="expression" dxfId="396" priority="682" stopIfTrue="1">
      <formula>$A20="note"</formula>
    </cfRule>
    <cfRule type="expression" dxfId="395" priority="683" stopIfTrue="1">
      <formula>$A20="barcode"</formula>
    </cfRule>
    <cfRule type="expression" dxfId="394" priority="684" stopIfTrue="1">
      <formula>OR($A20="geopoint", $A20="geoshape", $A20="geotrace")</formula>
    </cfRule>
    <cfRule type="expression" dxfId="393" priority="685" stopIfTrue="1">
      <formula>OR($A20="audio", $A20="video")</formula>
    </cfRule>
    <cfRule type="expression" dxfId="392" priority="686" stopIfTrue="1">
      <formula>$A20="file"</formula>
    </cfRule>
    <cfRule type="expression" dxfId="391" priority="687" stopIfTrue="1">
      <formula>$A20="image"</formula>
    </cfRule>
    <cfRule type="expression" dxfId="390" priority="688" stopIfTrue="1">
      <formula>OR(AND(LEFT($A20, 16)="select_multiple ", LEN($A20)&gt;16, NOT(ISNUMBER(SEARCH(" ", $A20, 17)))), AND(LEFT($A20, 11)="select_one ", LEN($A20)&gt;11, NOT(ISNUMBER(SEARCH(" ", $A20, 12)))))</formula>
    </cfRule>
    <cfRule type="expression" dxfId="389" priority="689" stopIfTrue="1">
      <formula>OR($A20="date", $A20="datetime", $A20="time")</formula>
    </cfRule>
    <cfRule type="expression" dxfId="388" priority="690" stopIfTrue="1">
      <formula>$A20="begin group"</formula>
    </cfRule>
    <cfRule type="expression" dxfId="387" priority="691" stopIfTrue="1">
      <formula>$A20="text"</formula>
    </cfRule>
    <cfRule type="expression" dxfId="386" priority="692" stopIfTrue="1">
      <formula>$A20="enumerator"</formula>
    </cfRule>
    <cfRule type="expression" dxfId="385" priority="693" stopIfTrue="1">
      <formula>$A20="decimal"</formula>
    </cfRule>
    <cfRule type="expression" dxfId="384" priority="694" stopIfTrue="1">
      <formula>$A20="integer"</formula>
    </cfRule>
  </conditionalFormatting>
  <conditionalFormatting sqref="F52:F54">
    <cfRule type="expression" dxfId="383" priority="437" stopIfTrue="1">
      <formula>$A52="enumerator"</formula>
    </cfRule>
    <cfRule type="expression" dxfId="382" priority="438" stopIfTrue="1">
      <formula>$A52="barcode"</formula>
    </cfRule>
    <cfRule type="expression" dxfId="381" priority="439" stopIfTrue="1">
      <formula>OR($A52="geopoint", $A52="geoshape", $A52="geotrace")</formula>
    </cfRule>
    <cfRule type="expression" dxfId="380" priority="440" stopIfTrue="1">
      <formula>$A52="file"</formula>
    </cfRule>
    <cfRule type="expression" dxfId="379" priority="441" stopIfTrue="1">
      <formula>$A52="note"</formula>
    </cfRule>
    <cfRule type="expression" dxfId="378" priority="442" stopIfTrue="1">
      <formula>$A52="begin group"</formula>
    </cfRule>
    <cfRule type="expression" dxfId="377" priority="443" stopIfTrue="1">
      <formula>OR($A52="audio", $A52="video")</formula>
    </cfRule>
    <cfRule type="expression" dxfId="376" priority="444" stopIfTrue="1">
      <formula>OR($A52="audio audit", $A52="text audit", $A52="speed violations count", $A52="speed violations list", $A52="speed violations audit")</formula>
    </cfRule>
    <cfRule type="expression" dxfId="375" priority="445" stopIfTrue="1">
      <formula>OR(AND(LEFT($A52, 16)="select_multiple ", LEN($A52)&gt;16, NOT(ISNUMBER(SEARCH(" ", $A52, 17)))), AND(LEFT($A52, 11)="select_one ", LEN($A52)&gt;11, NOT(ISNUMBER(SEARCH(" ", $A52, 12)))))</formula>
    </cfRule>
    <cfRule type="expression" dxfId="374" priority="446" stopIfTrue="1">
      <formula>$A52="decimal"</formula>
    </cfRule>
    <cfRule type="expression" dxfId="373" priority="447" stopIfTrue="1">
      <formula>$A52="integer"</formula>
    </cfRule>
    <cfRule type="expression" dxfId="372" priority="448" stopIfTrue="1">
      <formula>$A52="text"</formula>
    </cfRule>
    <cfRule type="expression" dxfId="371" priority="449" stopIfTrue="1">
      <formula>$A52="image"</formula>
    </cfRule>
    <cfRule type="expression" dxfId="370" priority="450" stopIfTrue="1">
      <formula>OR($A52="date", $A52="datetime", $A52="time")</formula>
    </cfRule>
    <cfRule type="expression" dxfId="369" priority="451" stopIfTrue="1">
      <formula>OR($A52="calculate", $A52="calculate_here")</formula>
    </cfRule>
    <cfRule type="expression" dxfId="368" priority="452" stopIfTrue="1">
      <formula>OR($A52="username", $A52="phonenumber", $A52="start", $A52="end", $A52="deviceid", $A52="subscriberid", $A52="simserial", $A52="caseid")</formula>
    </cfRule>
    <cfRule type="expression" dxfId="367" priority="453" stopIfTrue="1">
      <formula>$A52="end repeat"</formula>
    </cfRule>
    <cfRule type="expression" dxfId="366" priority="454" stopIfTrue="1">
      <formula>$A52="begin repeat"</formula>
    </cfRule>
    <cfRule type="expression" dxfId="365" priority="455" stopIfTrue="1">
      <formula>$A52="end group"</formula>
    </cfRule>
    <cfRule type="expression" dxfId="364" priority="456" stopIfTrue="1">
      <formula>OR($A52="audio audit", $A52="text audit", $A52="speed violations count", $A52="speed violations list", $A52="speed violations audit")</formula>
    </cfRule>
    <cfRule type="expression" dxfId="363" priority="457" stopIfTrue="1">
      <formula>$A52="begin group"</formula>
    </cfRule>
    <cfRule type="expression" dxfId="362" priority="458" stopIfTrue="1">
      <formula>$A52="image"</formula>
    </cfRule>
    <cfRule type="expression" dxfId="361" priority="459" stopIfTrue="1">
      <formula>OR($A52="date", $A52="datetime", $A52="time")</formula>
    </cfRule>
    <cfRule type="expression" dxfId="360" priority="460" stopIfTrue="1">
      <formula>OR(AND(LEFT($A52, 16)="select_multiple ", LEN($A52)&gt;16, NOT(ISNUMBER(SEARCH(" ", $A52, 17)))), AND(LEFT($A52, 11)="select_one ", LEN($A52)&gt;11, NOT(ISNUMBER(SEARCH(" ", $A52, 12)))))</formula>
    </cfRule>
    <cfRule type="expression" dxfId="359" priority="461" stopIfTrue="1">
      <formula>$A52="text"</formula>
    </cfRule>
    <cfRule type="expression" dxfId="358" priority="462" stopIfTrue="1">
      <formula>$A52="enumerator"</formula>
    </cfRule>
  </conditionalFormatting>
  <conditionalFormatting sqref="I121:I127">
    <cfRule type="expression" dxfId="357" priority="417" stopIfTrue="1">
      <formula>$A121="decimal"</formula>
    </cfRule>
    <cfRule type="expression" dxfId="356" priority="418" stopIfTrue="1">
      <formula>$A121="integer"</formula>
    </cfRule>
    <cfRule type="expression" dxfId="355" priority="419" stopIfTrue="1">
      <formula>$A121="text"</formula>
    </cfRule>
  </conditionalFormatting>
  <conditionalFormatting sqref="N45">
    <cfRule type="expression" dxfId="354" priority="48" stopIfTrue="1">
      <formula>$A45="enumerator"</formula>
    </cfRule>
    <cfRule type="expression" dxfId="353" priority="49" stopIfTrue="1">
      <formula>$A45="barcode"</formula>
    </cfRule>
    <cfRule type="expression" dxfId="352" priority="50" stopIfTrue="1">
      <formula>OR($A45="geopoint", $A45="geoshape", $A45="geotrace")</formula>
    </cfRule>
    <cfRule type="expression" dxfId="351" priority="51" stopIfTrue="1">
      <formula>$A45="file"</formula>
    </cfRule>
    <cfRule type="expression" dxfId="350" priority="52" stopIfTrue="1">
      <formula>$A45="note"</formula>
    </cfRule>
    <cfRule type="expression" dxfId="349" priority="53" stopIfTrue="1">
      <formula>$A45="begin group"</formula>
    </cfRule>
    <cfRule type="expression" dxfId="348" priority="54" stopIfTrue="1">
      <formula>OR($A45="audio", $A45="video")</formula>
    </cfRule>
    <cfRule type="expression" dxfId="347" priority="55" stopIfTrue="1">
      <formula>OR($A45="audio audit", $A45="text audit", $A45="speed violations count", $A45="speed violations list", $A45="speed violations audit")</formula>
    </cfRule>
    <cfRule type="expression" dxfId="346" priority="56" stopIfTrue="1">
      <formula>OR(AND(LEFT($A45, 16)="select_multiple ", LEN($A45)&gt;16, NOT(ISNUMBER(SEARCH(" ", $A45, 17)))), AND(LEFT($A45, 11)="select_one ", LEN($A45)&gt;11, NOT(ISNUMBER(SEARCH(" ", $A45, 12)))))</formula>
    </cfRule>
    <cfRule type="expression" dxfId="345" priority="57" stopIfTrue="1">
      <formula>$A45="decimal"</formula>
    </cfRule>
    <cfRule type="expression" dxfId="344" priority="58" stopIfTrue="1">
      <formula>$A45="integer"</formula>
    </cfRule>
    <cfRule type="expression" dxfId="343" priority="59" stopIfTrue="1">
      <formula>$A45="text"</formula>
    </cfRule>
    <cfRule type="expression" dxfId="342" priority="60" stopIfTrue="1">
      <formula>$A45="image"</formula>
    </cfRule>
    <cfRule type="expression" dxfId="341" priority="61" stopIfTrue="1">
      <formula>OR($A45="date", $A45="datetime", $A45="time")</formula>
    </cfRule>
    <cfRule type="expression" dxfId="340" priority="62" stopIfTrue="1">
      <formula>OR($A45="calculate", $A45="calculate_here")</formula>
    </cfRule>
    <cfRule type="expression" dxfId="339" priority="63" stopIfTrue="1">
      <formula>OR($A45="username", $A45="phonenumber", $A45="start", $A45="end", $A45="deviceid", $A45="subscriberid", $A45="simserial", $A45="caseid")</formula>
    </cfRule>
    <cfRule type="expression" dxfId="338" priority="64" stopIfTrue="1">
      <formula>$A45="end repeat"</formula>
    </cfRule>
    <cfRule type="expression" dxfId="337" priority="65" stopIfTrue="1">
      <formula>$A45="begin repeat"</formula>
    </cfRule>
    <cfRule type="expression" dxfId="336" priority="66" stopIfTrue="1">
      <formula>$A45="end group"</formula>
    </cfRule>
    <cfRule type="expression" dxfId="335" priority="67" stopIfTrue="1">
      <formula>OR($A45="calculate", $A45="calculate_here")</formula>
    </cfRule>
  </conditionalFormatting>
  <conditionalFormatting sqref="N47">
    <cfRule type="expression" dxfId="334" priority="397" stopIfTrue="1">
      <formula>$A47="enumerator"</formula>
    </cfRule>
    <cfRule type="expression" dxfId="333" priority="398" stopIfTrue="1">
      <formula>$A47="barcode"</formula>
    </cfRule>
    <cfRule type="expression" dxfId="332" priority="399" stopIfTrue="1">
      <formula>OR($A47="geopoint", $A47="geoshape", $A47="geotrace")</formula>
    </cfRule>
    <cfRule type="expression" dxfId="331" priority="400" stopIfTrue="1">
      <formula>$A47="file"</formula>
    </cfRule>
    <cfRule type="expression" dxfId="330" priority="401" stopIfTrue="1">
      <formula>$A47="note"</formula>
    </cfRule>
    <cfRule type="expression" dxfId="329" priority="402" stopIfTrue="1">
      <formula>$A47="begin group"</formula>
    </cfRule>
    <cfRule type="expression" dxfId="328" priority="403" stopIfTrue="1">
      <formula>OR($A47="audio", $A47="video")</formula>
    </cfRule>
    <cfRule type="expression" dxfId="327" priority="404" stopIfTrue="1">
      <formula>OR($A47="audio audit", $A47="text audit", $A47="speed violations count", $A47="speed violations list", $A47="speed violations audit")</formula>
    </cfRule>
    <cfRule type="expression" dxfId="326" priority="405" stopIfTrue="1">
      <formula>OR(AND(LEFT($A47, 16)="select_multiple ", LEN($A47)&gt;16, NOT(ISNUMBER(SEARCH(" ", $A47, 17)))), AND(LEFT($A47, 11)="select_one ", LEN($A47)&gt;11, NOT(ISNUMBER(SEARCH(" ", $A47, 12)))))</formula>
    </cfRule>
    <cfRule type="expression" dxfId="325" priority="406" stopIfTrue="1">
      <formula>$A47="decimal"</formula>
    </cfRule>
    <cfRule type="expression" dxfId="324" priority="407" stopIfTrue="1">
      <formula>$A47="integer"</formula>
    </cfRule>
    <cfRule type="expression" dxfId="323" priority="408" stopIfTrue="1">
      <formula>$A47="text"</formula>
    </cfRule>
    <cfRule type="expression" dxfId="322" priority="409" stopIfTrue="1">
      <formula>$A47="image"</formula>
    </cfRule>
    <cfRule type="expression" dxfId="321" priority="410" stopIfTrue="1">
      <formula>OR($A47="date", $A47="datetime", $A47="time")</formula>
    </cfRule>
    <cfRule type="expression" dxfId="320" priority="411" stopIfTrue="1">
      <formula>OR($A47="calculate", $A47="calculate_here")</formula>
    </cfRule>
    <cfRule type="expression" dxfId="319" priority="412" stopIfTrue="1">
      <formula>OR($A47="username", $A47="phonenumber", $A47="start", $A47="end", $A47="deviceid", $A47="subscriberid", $A47="simserial", $A47="caseid")</formula>
    </cfRule>
    <cfRule type="expression" dxfId="318" priority="413" stopIfTrue="1">
      <formula>$A47="end repeat"</formula>
    </cfRule>
    <cfRule type="expression" dxfId="317" priority="414" stopIfTrue="1">
      <formula>$A47="begin repeat"</formula>
    </cfRule>
    <cfRule type="expression" dxfId="316" priority="415" stopIfTrue="1">
      <formula>$A47="end group"</formula>
    </cfRule>
    <cfRule type="expression" dxfId="315" priority="416" stopIfTrue="1">
      <formula>OR($A47="calculate", $A47="calculate_here")</formula>
    </cfRule>
  </conditionalFormatting>
  <conditionalFormatting sqref="N63:N64">
    <cfRule type="expression" dxfId="314" priority="348" stopIfTrue="1">
      <formula>$A63="enumerator"</formula>
    </cfRule>
    <cfRule type="expression" dxfId="313" priority="349" stopIfTrue="1">
      <formula>$A63="barcode"</formula>
    </cfRule>
    <cfRule type="expression" dxfId="312" priority="350" stopIfTrue="1">
      <formula>OR($A63="geopoint", $A63="geoshape", $A63="geotrace")</formula>
    </cfRule>
    <cfRule type="expression" dxfId="311" priority="351" stopIfTrue="1">
      <formula>$A63="file"</formula>
    </cfRule>
    <cfRule type="expression" dxfId="310" priority="352" stopIfTrue="1">
      <formula>$A63="note"</formula>
    </cfRule>
    <cfRule type="expression" dxfId="309" priority="353" stopIfTrue="1">
      <formula>$A63="begin group"</formula>
    </cfRule>
    <cfRule type="expression" dxfId="308" priority="354" stopIfTrue="1">
      <formula>OR($A63="audio", $A63="video")</formula>
    </cfRule>
    <cfRule type="expression" dxfId="307" priority="355" stopIfTrue="1">
      <formula>OR($A63="audio audit", $A63="text audit", $A63="speed violations count", $A63="speed violations list", $A63="speed violations audit")</formula>
    </cfRule>
    <cfRule type="expression" dxfId="306" priority="356" stopIfTrue="1">
      <formula>OR(AND(LEFT($A63, 16)="select_multiple ", LEN($A63)&gt;16, NOT(ISNUMBER(SEARCH(" ", $A63, 17)))), AND(LEFT($A63, 11)="select_one ", LEN($A63)&gt;11, NOT(ISNUMBER(SEARCH(" ", $A63, 12)))))</formula>
    </cfRule>
    <cfRule type="expression" dxfId="305" priority="357" stopIfTrue="1">
      <formula>$A63="decimal"</formula>
    </cfRule>
    <cfRule type="expression" dxfId="304" priority="358" stopIfTrue="1">
      <formula>$A63="integer"</formula>
    </cfRule>
    <cfRule type="expression" dxfId="303" priority="359" stopIfTrue="1">
      <formula>$A63="text"</formula>
    </cfRule>
    <cfRule type="expression" dxfId="302" priority="360" stopIfTrue="1">
      <formula>$A63="image"</formula>
    </cfRule>
    <cfRule type="expression" dxfId="301" priority="361" stopIfTrue="1">
      <formula>OR($A63="date", $A63="datetime", $A63="time")</formula>
    </cfRule>
    <cfRule type="expression" dxfId="300" priority="362" stopIfTrue="1">
      <formula>OR($A63="calculate", $A63="calculate_here")</formula>
    </cfRule>
    <cfRule type="expression" dxfId="299" priority="363" stopIfTrue="1">
      <formula>OR($A63="username", $A63="phonenumber", $A63="start", $A63="end", $A63="deviceid", $A63="subscriberid", $A63="simserial", $A63="caseid")</formula>
    </cfRule>
    <cfRule type="expression" dxfId="298" priority="364" stopIfTrue="1">
      <formula>$A63="end repeat"</formula>
    </cfRule>
    <cfRule type="expression" dxfId="297" priority="365" stopIfTrue="1">
      <formula>$A63="begin repeat"</formula>
    </cfRule>
    <cfRule type="expression" dxfId="296" priority="366" stopIfTrue="1">
      <formula>$A63="end group"</formula>
    </cfRule>
    <cfRule type="expression" dxfId="295" priority="367" stopIfTrue="1">
      <formula>OR($A63="calculate", $A63="calculate_here")</formula>
    </cfRule>
  </conditionalFormatting>
  <conditionalFormatting sqref="N67 N79">
    <cfRule type="expression" dxfId="294" priority="463" stopIfTrue="1">
      <formula>$A67="enumerator"</formula>
    </cfRule>
    <cfRule type="expression" dxfId="293" priority="464" stopIfTrue="1">
      <formula>$A67="barcode"</formula>
    </cfRule>
    <cfRule type="expression" dxfId="292" priority="465" stopIfTrue="1">
      <formula>OR($A67="geopoint", $A67="geoshape", $A67="geotrace")</formula>
    </cfRule>
    <cfRule type="expression" dxfId="291" priority="466" stopIfTrue="1">
      <formula>$A67="file"</formula>
    </cfRule>
    <cfRule type="expression" dxfId="290" priority="467" stopIfTrue="1">
      <formula>$A67="note"</formula>
    </cfRule>
    <cfRule type="expression" dxfId="289" priority="468" stopIfTrue="1">
      <formula>$A67="begin group"</formula>
    </cfRule>
    <cfRule type="expression" dxfId="288" priority="469" stopIfTrue="1">
      <formula>OR($A67="audio", $A67="video")</formula>
    </cfRule>
    <cfRule type="expression" dxfId="287" priority="470" stopIfTrue="1">
      <formula>OR($A67="audio audit", $A67="text audit", $A67="speed violations count", $A67="speed violations list", $A67="speed violations audit")</formula>
    </cfRule>
    <cfRule type="expression" dxfId="286" priority="471" stopIfTrue="1">
      <formula>OR(AND(LEFT($A67, 16)="select_multiple ", LEN($A67)&gt;16, NOT(ISNUMBER(SEARCH(" ", $A67, 17)))), AND(LEFT($A67, 11)="select_one ", LEN($A67)&gt;11, NOT(ISNUMBER(SEARCH(" ", $A67, 12)))))</formula>
    </cfRule>
    <cfRule type="expression" dxfId="285" priority="472" stopIfTrue="1">
      <formula>$A67="decimal"</formula>
    </cfRule>
    <cfRule type="expression" dxfId="284" priority="473" stopIfTrue="1">
      <formula>$A67="integer"</formula>
    </cfRule>
    <cfRule type="expression" dxfId="283" priority="474" stopIfTrue="1">
      <formula>$A67="text"</formula>
    </cfRule>
    <cfRule type="expression" dxfId="282" priority="475" stopIfTrue="1">
      <formula>$A67="image"</formula>
    </cfRule>
    <cfRule type="expression" dxfId="281" priority="476" stopIfTrue="1">
      <formula>OR($A67="date", $A67="datetime", $A67="time")</formula>
    </cfRule>
    <cfRule type="expression" dxfId="280" priority="477" stopIfTrue="1">
      <formula>OR($A67="calculate", $A67="calculate_here")</formula>
    </cfRule>
    <cfRule type="expression" dxfId="279" priority="478" stopIfTrue="1">
      <formula>OR($A67="username", $A67="phonenumber", $A67="start", $A67="end", $A67="deviceid", $A67="subscriberid", $A67="simserial", $A67="caseid")</formula>
    </cfRule>
    <cfRule type="expression" dxfId="278" priority="479" stopIfTrue="1">
      <formula>$A67="end repeat"</formula>
    </cfRule>
    <cfRule type="expression" dxfId="277" priority="480" stopIfTrue="1">
      <formula>$A67="begin repeat"</formula>
    </cfRule>
    <cfRule type="expression" dxfId="276" priority="481" stopIfTrue="1">
      <formula>$A67="end group"</formula>
    </cfRule>
    <cfRule type="expression" dxfId="275" priority="678" stopIfTrue="1">
      <formula>OR($A67="calculate", $A67="calculate_here")</formula>
    </cfRule>
  </conditionalFormatting>
  <conditionalFormatting sqref="N83:N84">
    <cfRule type="expression" dxfId="274" priority="328" stopIfTrue="1">
      <formula>$A83="enumerator"</formula>
    </cfRule>
    <cfRule type="expression" dxfId="273" priority="329" stopIfTrue="1">
      <formula>$A83="barcode"</formula>
    </cfRule>
    <cfRule type="expression" dxfId="272" priority="330" stopIfTrue="1">
      <formula>OR($A83="geopoint", $A83="geoshape", $A83="geotrace")</formula>
    </cfRule>
    <cfRule type="expression" dxfId="271" priority="331" stopIfTrue="1">
      <formula>$A83="file"</formula>
    </cfRule>
    <cfRule type="expression" dxfId="270" priority="332" stopIfTrue="1">
      <formula>$A83="note"</formula>
    </cfRule>
    <cfRule type="expression" dxfId="269" priority="333" stopIfTrue="1">
      <formula>$A83="begin group"</formula>
    </cfRule>
    <cfRule type="expression" dxfId="268" priority="334" stopIfTrue="1">
      <formula>OR($A83="audio", $A83="video")</formula>
    </cfRule>
    <cfRule type="expression" dxfId="267" priority="335" stopIfTrue="1">
      <formula>OR($A83="audio audit", $A83="text audit", $A83="speed violations count", $A83="speed violations list", $A83="speed violations audit")</formula>
    </cfRule>
    <cfRule type="expression" dxfId="266" priority="336" stopIfTrue="1">
      <formula>OR(AND(LEFT($A83, 16)="select_multiple ", LEN($A83)&gt;16, NOT(ISNUMBER(SEARCH(" ", $A83, 17)))), AND(LEFT($A83, 11)="select_one ", LEN($A83)&gt;11, NOT(ISNUMBER(SEARCH(" ", $A83, 12)))))</formula>
    </cfRule>
    <cfRule type="expression" dxfId="265" priority="337" stopIfTrue="1">
      <formula>$A83="decimal"</formula>
    </cfRule>
    <cfRule type="expression" dxfId="264" priority="338" stopIfTrue="1">
      <formula>$A83="integer"</formula>
    </cfRule>
    <cfRule type="expression" dxfId="263" priority="339" stopIfTrue="1">
      <formula>$A83="text"</formula>
    </cfRule>
    <cfRule type="expression" dxfId="262" priority="340" stopIfTrue="1">
      <formula>$A83="image"</formula>
    </cfRule>
    <cfRule type="expression" dxfId="261" priority="341" stopIfTrue="1">
      <formula>OR($A83="date", $A83="datetime", $A83="time")</formula>
    </cfRule>
    <cfRule type="expression" dxfId="260" priority="342" stopIfTrue="1">
      <formula>OR($A83="calculate", $A83="calculate_here")</formula>
    </cfRule>
    <cfRule type="expression" dxfId="259" priority="343" stopIfTrue="1">
      <formula>OR($A83="username", $A83="phonenumber", $A83="start", $A83="end", $A83="deviceid", $A83="subscriberid", $A83="simserial", $A83="caseid")</formula>
    </cfRule>
    <cfRule type="expression" dxfId="258" priority="344" stopIfTrue="1">
      <formula>$A83="end repeat"</formula>
    </cfRule>
    <cfRule type="expression" dxfId="257" priority="345" stopIfTrue="1">
      <formula>$A83="begin repeat"</formula>
    </cfRule>
    <cfRule type="expression" dxfId="256" priority="346" stopIfTrue="1">
      <formula>$A83="end group"</formula>
    </cfRule>
    <cfRule type="expression" dxfId="255" priority="347" stopIfTrue="1">
      <formula>OR($A83="calculate", $A83="calculate_here")</formula>
    </cfRule>
  </conditionalFormatting>
  <conditionalFormatting sqref="N89:N90">
    <cfRule type="expression" dxfId="254" priority="288" stopIfTrue="1">
      <formula>$A89="enumerator"</formula>
    </cfRule>
    <cfRule type="expression" dxfId="253" priority="289" stopIfTrue="1">
      <formula>$A89="barcode"</formula>
    </cfRule>
    <cfRule type="expression" dxfId="252" priority="290" stopIfTrue="1">
      <formula>OR($A89="geopoint", $A89="geoshape", $A89="geotrace")</formula>
    </cfRule>
    <cfRule type="expression" dxfId="251" priority="291" stopIfTrue="1">
      <formula>$A89="file"</formula>
    </cfRule>
    <cfRule type="expression" dxfId="250" priority="292" stopIfTrue="1">
      <formula>$A89="note"</formula>
    </cfRule>
    <cfRule type="expression" dxfId="249" priority="293" stopIfTrue="1">
      <formula>$A89="begin group"</formula>
    </cfRule>
    <cfRule type="expression" dxfId="248" priority="294" stopIfTrue="1">
      <formula>OR($A89="audio", $A89="video")</formula>
    </cfRule>
    <cfRule type="expression" dxfId="247" priority="295" stopIfTrue="1">
      <formula>OR($A89="audio audit", $A89="text audit", $A89="speed violations count", $A89="speed violations list", $A89="speed violations audit")</formula>
    </cfRule>
    <cfRule type="expression" dxfId="246" priority="296" stopIfTrue="1">
      <formula>OR(AND(LEFT($A89, 16)="select_multiple ", LEN($A89)&gt;16, NOT(ISNUMBER(SEARCH(" ", $A89, 17)))), AND(LEFT($A89, 11)="select_one ", LEN($A89)&gt;11, NOT(ISNUMBER(SEARCH(" ", $A89, 12)))))</formula>
    </cfRule>
    <cfRule type="expression" dxfId="245" priority="297" stopIfTrue="1">
      <formula>$A89="decimal"</formula>
    </cfRule>
    <cfRule type="expression" dxfId="244" priority="298" stopIfTrue="1">
      <formula>$A89="integer"</formula>
    </cfRule>
    <cfRule type="expression" dxfId="243" priority="299" stopIfTrue="1">
      <formula>$A89="text"</formula>
    </cfRule>
    <cfRule type="expression" dxfId="242" priority="300" stopIfTrue="1">
      <formula>$A89="image"</formula>
    </cfRule>
    <cfRule type="expression" dxfId="241" priority="301" stopIfTrue="1">
      <formula>OR($A89="date", $A89="datetime", $A89="time")</formula>
    </cfRule>
    <cfRule type="expression" dxfId="240" priority="302" stopIfTrue="1">
      <formula>OR($A89="calculate", $A89="calculate_here")</formula>
    </cfRule>
    <cfRule type="expression" dxfId="239" priority="303" stopIfTrue="1">
      <formula>OR($A89="username", $A89="phonenumber", $A89="start", $A89="end", $A89="deviceid", $A89="subscriberid", $A89="simserial", $A89="caseid")</formula>
    </cfRule>
    <cfRule type="expression" dxfId="238" priority="304" stopIfTrue="1">
      <formula>$A89="end repeat"</formula>
    </cfRule>
    <cfRule type="expression" dxfId="237" priority="305" stopIfTrue="1">
      <formula>$A89="begin repeat"</formula>
    </cfRule>
    <cfRule type="expression" dxfId="236" priority="306" stopIfTrue="1">
      <formula>$A89="end group"</formula>
    </cfRule>
    <cfRule type="expression" dxfId="235" priority="307" stopIfTrue="1">
      <formula>OR($A89="calculate", $A89="calculate_here")</formula>
    </cfRule>
  </conditionalFormatting>
  <conditionalFormatting sqref="N93">
    <cfRule type="expression" dxfId="234" priority="228" stopIfTrue="1">
      <formula>$A93="enumerator"</formula>
    </cfRule>
    <cfRule type="expression" dxfId="233" priority="229" stopIfTrue="1">
      <formula>$A93="barcode"</formula>
    </cfRule>
    <cfRule type="expression" dxfId="232" priority="230" stopIfTrue="1">
      <formula>OR($A93="geopoint", $A93="geoshape", $A93="geotrace")</formula>
    </cfRule>
    <cfRule type="expression" dxfId="231" priority="231" stopIfTrue="1">
      <formula>$A93="file"</formula>
    </cfRule>
    <cfRule type="expression" dxfId="230" priority="232" stopIfTrue="1">
      <formula>$A93="note"</formula>
    </cfRule>
    <cfRule type="expression" dxfId="229" priority="233" stopIfTrue="1">
      <formula>$A93="begin group"</formula>
    </cfRule>
    <cfRule type="expression" dxfId="228" priority="234" stopIfTrue="1">
      <formula>OR($A93="audio", $A93="video")</formula>
    </cfRule>
    <cfRule type="expression" dxfId="227" priority="235" stopIfTrue="1">
      <formula>OR($A93="audio audit", $A93="text audit", $A93="speed violations count", $A93="speed violations list", $A93="speed violations audit")</formula>
    </cfRule>
    <cfRule type="expression" dxfId="226" priority="236" stopIfTrue="1">
      <formula>OR(AND(LEFT($A93, 16)="select_multiple ", LEN($A93)&gt;16, NOT(ISNUMBER(SEARCH(" ", $A93, 17)))), AND(LEFT($A93, 11)="select_one ", LEN($A93)&gt;11, NOT(ISNUMBER(SEARCH(" ", $A93, 12)))))</formula>
    </cfRule>
    <cfRule type="expression" dxfId="225" priority="237" stopIfTrue="1">
      <formula>$A93="decimal"</formula>
    </cfRule>
    <cfRule type="expression" dxfId="224" priority="238" stopIfTrue="1">
      <formula>$A93="integer"</formula>
    </cfRule>
    <cfRule type="expression" dxfId="223" priority="239" stopIfTrue="1">
      <formula>$A93="text"</formula>
    </cfRule>
    <cfRule type="expression" dxfId="222" priority="240" stopIfTrue="1">
      <formula>$A93="image"</formula>
    </cfRule>
    <cfRule type="expression" dxfId="221" priority="241" stopIfTrue="1">
      <formula>OR($A93="date", $A93="datetime", $A93="time")</formula>
    </cfRule>
    <cfRule type="expression" dxfId="220" priority="242" stopIfTrue="1">
      <formula>OR($A93="calculate", $A93="calculate_here")</formula>
    </cfRule>
    <cfRule type="expression" dxfId="219" priority="243" stopIfTrue="1">
      <formula>OR($A93="username", $A93="phonenumber", $A93="start", $A93="end", $A93="deviceid", $A93="subscriberid", $A93="simserial", $A93="caseid")</formula>
    </cfRule>
    <cfRule type="expression" dxfId="218" priority="244" stopIfTrue="1">
      <formula>$A93="end repeat"</formula>
    </cfRule>
    <cfRule type="expression" dxfId="217" priority="245" stopIfTrue="1">
      <formula>$A93="begin repeat"</formula>
    </cfRule>
    <cfRule type="expression" dxfId="216" priority="246" stopIfTrue="1">
      <formula>$A93="end group"</formula>
    </cfRule>
    <cfRule type="expression" dxfId="215" priority="247" stopIfTrue="1">
      <formula>OR($A93="calculate", $A93="calculate_here")</formula>
    </cfRule>
  </conditionalFormatting>
  <conditionalFormatting sqref="N126">
    <cfRule type="expression" dxfId="214" priority="208" stopIfTrue="1">
      <formula>$A126="enumerator"</formula>
    </cfRule>
    <cfRule type="expression" dxfId="213" priority="209" stopIfTrue="1">
      <formula>$A126="barcode"</formula>
    </cfRule>
    <cfRule type="expression" dxfId="212" priority="210" stopIfTrue="1">
      <formula>OR($A126="geopoint", $A126="geoshape", $A126="geotrace")</formula>
    </cfRule>
    <cfRule type="expression" dxfId="211" priority="211" stopIfTrue="1">
      <formula>$A126="file"</formula>
    </cfRule>
    <cfRule type="expression" dxfId="210" priority="212" stopIfTrue="1">
      <formula>$A126="note"</formula>
    </cfRule>
    <cfRule type="expression" dxfId="209" priority="213" stopIfTrue="1">
      <formula>$A126="begin group"</formula>
    </cfRule>
    <cfRule type="expression" dxfId="208" priority="214" stopIfTrue="1">
      <formula>OR($A126="audio", $A126="video")</formula>
    </cfRule>
    <cfRule type="expression" dxfId="207" priority="215" stopIfTrue="1">
      <formula>OR($A126="audio audit", $A126="text audit", $A126="speed violations count", $A126="speed violations list", $A126="speed violations audit")</formula>
    </cfRule>
    <cfRule type="expression" dxfId="206" priority="216" stopIfTrue="1">
      <formula>OR(AND(LEFT($A126, 16)="select_multiple ", LEN($A126)&gt;16, NOT(ISNUMBER(SEARCH(" ", $A126, 17)))), AND(LEFT($A126, 11)="select_one ", LEN($A126)&gt;11, NOT(ISNUMBER(SEARCH(" ", $A126, 12)))))</formula>
    </cfRule>
    <cfRule type="expression" dxfId="205" priority="217" stopIfTrue="1">
      <formula>$A126="decimal"</formula>
    </cfRule>
    <cfRule type="expression" dxfId="204" priority="218" stopIfTrue="1">
      <formula>$A126="integer"</formula>
    </cfRule>
    <cfRule type="expression" dxfId="203" priority="219" stopIfTrue="1">
      <formula>$A126="text"</formula>
    </cfRule>
    <cfRule type="expression" dxfId="202" priority="220" stopIfTrue="1">
      <formula>$A126="image"</formula>
    </cfRule>
    <cfRule type="expression" dxfId="201" priority="221" stopIfTrue="1">
      <formula>OR($A126="date", $A126="datetime", $A126="time")</formula>
    </cfRule>
    <cfRule type="expression" dxfId="200" priority="222" stopIfTrue="1">
      <formula>OR($A126="calculate", $A126="calculate_here")</formula>
    </cfRule>
    <cfRule type="expression" dxfId="199" priority="223" stopIfTrue="1">
      <formula>OR($A126="username", $A126="phonenumber", $A126="start", $A126="end", $A126="deviceid", $A126="subscriberid", $A126="simserial", $A126="caseid")</formula>
    </cfRule>
    <cfRule type="expression" dxfId="198" priority="224" stopIfTrue="1">
      <formula>$A126="end repeat"</formula>
    </cfRule>
    <cfRule type="expression" dxfId="197" priority="225" stopIfTrue="1">
      <formula>$A126="begin repeat"</formula>
    </cfRule>
    <cfRule type="expression" dxfId="196" priority="226" stopIfTrue="1">
      <formula>$A126="end group"</formula>
    </cfRule>
    <cfRule type="expression" dxfId="195" priority="227" stopIfTrue="1">
      <formula>OR($A126="calculate", $A126="calculate_here")</formula>
    </cfRule>
  </conditionalFormatting>
  <conditionalFormatting sqref="N130">
    <cfRule type="expression" dxfId="194" priority="188" stopIfTrue="1">
      <formula>$A130="enumerator"</formula>
    </cfRule>
    <cfRule type="expression" dxfId="193" priority="189" stopIfTrue="1">
      <formula>$A130="barcode"</formula>
    </cfRule>
    <cfRule type="expression" dxfId="192" priority="190" stopIfTrue="1">
      <formula>OR($A130="geopoint", $A130="geoshape", $A130="geotrace")</formula>
    </cfRule>
    <cfRule type="expression" dxfId="191" priority="191" stopIfTrue="1">
      <formula>$A130="file"</formula>
    </cfRule>
    <cfRule type="expression" dxfId="190" priority="192" stopIfTrue="1">
      <formula>$A130="note"</formula>
    </cfRule>
    <cfRule type="expression" dxfId="189" priority="193" stopIfTrue="1">
      <formula>$A130="begin group"</formula>
    </cfRule>
    <cfRule type="expression" dxfId="188" priority="194" stopIfTrue="1">
      <formula>OR($A130="audio", $A130="video")</formula>
    </cfRule>
    <cfRule type="expression" dxfId="187" priority="195" stopIfTrue="1">
      <formula>OR($A130="audio audit", $A130="text audit", $A130="speed violations count", $A130="speed violations list", $A130="speed violations audit")</formula>
    </cfRule>
    <cfRule type="expression" dxfId="186" priority="196" stopIfTrue="1">
      <formula>OR(AND(LEFT($A130, 16)="select_multiple ", LEN($A130)&gt;16, NOT(ISNUMBER(SEARCH(" ", $A130, 17)))), AND(LEFT($A130, 11)="select_one ", LEN($A130)&gt;11, NOT(ISNUMBER(SEARCH(" ", $A130, 12)))))</formula>
    </cfRule>
    <cfRule type="expression" dxfId="185" priority="197" stopIfTrue="1">
      <formula>$A130="decimal"</formula>
    </cfRule>
    <cfRule type="expression" dxfId="184" priority="198" stopIfTrue="1">
      <formula>$A130="integer"</formula>
    </cfRule>
    <cfRule type="expression" dxfId="183" priority="199" stopIfTrue="1">
      <formula>$A130="text"</formula>
    </cfRule>
    <cfRule type="expression" dxfId="182" priority="200" stopIfTrue="1">
      <formula>$A130="image"</formula>
    </cfRule>
    <cfRule type="expression" dxfId="181" priority="201" stopIfTrue="1">
      <formula>OR($A130="date", $A130="datetime", $A130="time")</formula>
    </cfRule>
    <cfRule type="expression" dxfId="180" priority="202" stopIfTrue="1">
      <formula>OR($A130="calculate", $A130="calculate_here")</formula>
    </cfRule>
    <cfRule type="expression" dxfId="179" priority="203" stopIfTrue="1">
      <formula>OR($A130="username", $A130="phonenumber", $A130="start", $A130="end", $A130="deviceid", $A130="subscriberid", $A130="simserial", $A130="caseid")</formula>
    </cfRule>
    <cfRule type="expression" dxfId="178" priority="204" stopIfTrue="1">
      <formula>$A130="end repeat"</formula>
    </cfRule>
    <cfRule type="expression" dxfId="177" priority="205" stopIfTrue="1">
      <formula>$A130="begin repeat"</formula>
    </cfRule>
    <cfRule type="expression" dxfId="176" priority="206" stopIfTrue="1">
      <formula>$A130="end group"</formula>
    </cfRule>
    <cfRule type="expression" dxfId="175" priority="207" stopIfTrue="1">
      <formula>OR($A130="calculate", $A130="calculate_here")</formula>
    </cfRule>
  </conditionalFormatting>
  <conditionalFormatting sqref="N155">
    <cfRule type="expression" dxfId="174" priority="168" stopIfTrue="1">
      <formula>$A155="enumerator"</formula>
    </cfRule>
    <cfRule type="expression" dxfId="173" priority="169" stopIfTrue="1">
      <formula>$A155="barcode"</formula>
    </cfRule>
    <cfRule type="expression" dxfId="172" priority="170" stopIfTrue="1">
      <formula>OR($A155="geopoint", $A155="geoshape", $A155="geotrace")</formula>
    </cfRule>
    <cfRule type="expression" dxfId="171" priority="171" stopIfTrue="1">
      <formula>$A155="file"</formula>
    </cfRule>
    <cfRule type="expression" dxfId="170" priority="172" stopIfTrue="1">
      <formula>$A155="note"</formula>
    </cfRule>
    <cfRule type="expression" dxfId="169" priority="173" stopIfTrue="1">
      <formula>$A155="begin group"</formula>
    </cfRule>
    <cfRule type="expression" dxfId="168" priority="174" stopIfTrue="1">
      <formula>OR($A155="audio", $A155="video")</formula>
    </cfRule>
    <cfRule type="expression" dxfId="167" priority="175" stopIfTrue="1">
      <formula>OR($A155="audio audit", $A155="text audit", $A155="speed violations count", $A155="speed violations list", $A155="speed violations audit")</formula>
    </cfRule>
    <cfRule type="expression" dxfId="166" priority="176" stopIfTrue="1">
      <formula>OR(AND(LEFT($A155, 16)="select_multiple ", LEN($A155)&gt;16, NOT(ISNUMBER(SEARCH(" ", $A155, 17)))), AND(LEFT($A155, 11)="select_one ", LEN($A155)&gt;11, NOT(ISNUMBER(SEARCH(" ", $A155, 12)))))</formula>
    </cfRule>
    <cfRule type="expression" dxfId="165" priority="177" stopIfTrue="1">
      <formula>$A155="decimal"</formula>
    </cfRule>
    <cfRule type="expression" dxfId="164" priority="178" stopIfTrue="1">
      <formula>$A155="integer"</formula>
    </cfRule>
    <cfRule type="expression" dxfId="163" priority="179" stopIfTrue="1">
      <formula>$A155="text"</formula>
    </cfRule>
    <cfRule type="expression" dxfId="162" priority="180" stopIfTrue="1">
      <formula>$A155="image"</formula>
    </cfRule>
    <cfRule type="expression" dxfId="161" priority="181" stopIfTrue="1">
      <formula>OR($A155="date", $A155="datetime", $A155="time")</formula>
    </cfRule>
    <cfRule type="expression" dxfId="160" priority="182" stopIfTrue="1">
      <formula>OR($A155="calculate", $A155="calculate_here")</formula>
    </cfRule>
    <cfRule type="expression" dxfId="159" priority="183" stopIfTrue="1">
      <formula>OR($A155="username", $A155="phonenumber", $A155="start", $A155="end", $A155="deviceid", $A155="subscriberid", $A155="simserial", $A155="caseid")</formula>
    </cfRule>
    <cfRule type="expression" dxfId="158" priority="184" stopIfTrue="1">
      <formula>$A155="end repeat"</formula>
    </cfRule>
    <cfRule type="expression" dxfId="157" priority="185" stopIfTrue="1">
      <formula>$A155="begin repeat"</formula>
    </cfRule>
    <cfRule type="expression" dxfId="156" priority="186" stopIfTrue="1">
      <formula>$A155="end group"</formula>
    </cfRule>
    <cfRule type="expression" dxfId="155" priority="187" stopIfTrue="1">
      <formula>OR($A155="calculate", $A155="calculate_here")</formula>
    </cfRule>
  </conditionalFormatting>
  <conditionalFormatting sqref="N159">
    <cfRule type="expression" dxfId="154" priority="148" stopIfTrue="1">
      <formula>$A159="enumerator"</formula>
    </cfRule>
    <cfRule type="expression" dxfId="153" priority="149" stopIfTrue="1">
      <formula>$A159="barcode"</formula>
    </cfRule>
    <cfRule type="expression" dxfId="152" priority="150" stopIfTrue="1">
      <formula>OR($A159="geopoint", $A159="geoshape", $A159="geotrace")</formula>
    </cfRule>
    <cfRule type="expression" dxfId="151" priority="151" stopIfTrue="1">
      <formula>$A159="file"</formula>
    </cfRule>
    <cfRule type="expression" dxfId="150" priority="152" stopIfTrue="1">
      <formula>$A159="note"</formula>
    </cfRule>
    <cfRule type="expression" dxfId="149" priority="153" stopIfTrue="1">
      <formula>$A159="begin group"</formula>
    </cfRule>
    <cfRule type="expression" dxfId="148" priority="154" stopIfTrue="1">
      <formula>OR($A159="audio", $A159="video")</formula>
    </cfRule>
    <cfRule type="expression" dxfId="147" priority="155" stopIfTrue="1">
      <formula>OR($A159="audio audit", $A159="text audit", $A159="speed violations count", $A159="speed violations list", $A159="speed violations audit")</formula>
    </cfRule>
    <cfRule type="expression" dxfId="146" priority="156" stopIfTrue="1">
      <formula>OR(AND(LEFT($A159, 16)="select_multiple ", LEN($A159)&gt;16, NOT(ISNUMBER(SEARCH(" ", $A159, 17)))), AND(LEFT($A159, 11)="select_one ", LEN($A159)&gt;11, NOT(ISNUMBER(SEARCH(" ", $A159, 12)))))</formula>
    </cfRule>
    <cfRule type="expression" dxfId="145" priority="157" stopIfTrue="1">
      <formula>$A159="decimal"</formula>
    </cfRule>
    <cfRule type="expression" dxfId="144" priority="158" stopIfTrue="1">
      <formula>$A159="integer"</formula>
    </cfRule>
    <cfRule type="expression" dxfId="143" priority="159" stopIfTrue="1">
      <formula>$A159="text"</formula>
    </cfRule>
    <cfRule type="expression" dxfId="142" priority="160" stopIfTrue="1">
      <formula>$A159="image"</formula>
    </cfRule>
    <cfRule type="expression" dxfId="141" priority="161" stopIfTrue="1">
      <formula>OR($A159="date", $A159="datetime", $A159="time")</formula>
    </cfRule>
    <cfRule type="expression" dxfId="140" priority="162" stopIfTrue="1">
      <formula>OR($A159="calculate", $A159="calculate_here")</formula>
    </cfRule>
    <cfRule type="expression" dxfId="139" priority="163" stopIfTrue="1">
      <formula>OR($A159="username", $A159="phonenumber", $A159="start", $A159="end", $A159="deviceid", $A159="subscriberid", $A159="simserial", $A159="caseid")</formula>
    </cfRule>
    <cfRule type="expression" dxfId="138" priority="164" stopIfTrue="1">
      <formula>$A159="end repeat"</formula>
    </cfRule>
    <cfRule type="expression" dxfId="137" priority="165" stopIfTrue="1">
      <formula>$A159="begin repeat"</formula>
    </cfRule>
    <cfRule type="expression" dxfId="136" priority="166" stopIfTrue="1">
      <formula>$A159="end group"</formula>
    </cfRule>
    <cfRule type="expression" dxfId="135" priority="167" stopIfTrue="1">
      <formula>OR($A159="calculate", $A159="calculate_here")</formula>
    </cfRule>
  </conditionalFormatting>
  <conditionalFormatting sqref="N219">
    <cfRule type="expression" dxfId="134" priority="128" stopIfTrue="1">
      <formula>$A219="enumerator"</formula>
    </cfRule>
    <cfRule type="expression" dxfId="133" priority="129" stopIfTrue="1">
      <formula>$A219="barcode"</formula>
    </cfRule>
    <cfRule type="expression" dxfId="132" priority="130" stopIfTrue="1">
      <formula>OR($A219="geopoint", $A219="geoshape", $A219="geotrace")</formula>
    </cfRule>
    <cfRule type="expression" dxfId="131" priority="131" stopIfTrue="1">
      <formula>$A219="file"</formula>
    </cfRule>
    <cfRule type="expression" dxfId="130" priority="132" stopIfTrue="1">
      <formula>$A219="note"</formula>
    </cfRule>
    <cfRule type="expression" dxfId="129" priority="133" stopIfTrue="1">
      <formula>$A219="begin group"</formula>
    </cfRule>
    <cfRule type="expression" dxfId="128" priority="134" stopIfTrue="1">
      <formula>OR($A219="audio", $A219="video")</formula>
    </cfRule>
    <cfRule type="expression" dxfId="127" priority="135" stopIfTrue="1">
      <formula>OR($A219="audio audit", $A219="text audit", $A219="speed violations count", $A219="speed violations list", $A219="speed violations audit")</formula>
    </cfRule>
    <cfRule type="expression" dxfId="126" priority="136" stopIfTrue="1">
      <formula>OR(AND(LEFT($A219, 16)="select_multiple ", LEN($A219)&gt;16, NOT(ISNUMBER(SEARCH(" ", $A219, 17)))), AND(LEFT($A219, 11)="select_one ", LEN($A219)&gt;11, NOT(ISNUMBER(SEARCH(" ", $A219, 12)))))</formula>
    </cfRule>
    <cfRule type="expression" dxfId="125" priority="137" stopIfTrue="1">
      <formula>$A219="decimal"</formula>
    </cfRule>
    <cfRule type="expression" dxfId="124" priority="138" stopIfTrue="1">
      <formula>$A219="integer"</formula>
    </cfRule>
    <cfRule type="expression" dxfId="123" priority="139" stopIfTrue="1">
      <formula>$A219="text"</formula>
    </cfRule>
    <cfRule type="expression" dxfId="122" priority="140" stopIfTrue="1">
      <formula>$A219="image"</formula>
    </cfRule>
    <cfRule type="expression" dxfId="121" priority="141" stopIfTrue="1">
      <formula>OR($A219="date", $A219="datetime", $A219="time")</formula>
    </cfRule>
    <cfRule type="expression" dxfId="120" priority="142" stopIfTrue="1">
      <formula>OR($A219="calculate", $A219="calculate_here")</formula>
    </cfRule>
    <cfRule type="expression" dxfId="119" priority="143" stopIfTrue="1">
      <formula>OR($A219="username", $A219="phonenumber", $A219="start", $A219="end", $A219="deviceid", $A219="subscriberid", $A219="simserial", $A219="caseid")</formula>
    </cfRule>
    <cfRule type="expression" dxfId="118" priority="144" stopIfTrue="1">
      <formula>$A219="end repeat"</formula>
    </cfRule>
    <cfRule type="expression" dxfId="117" priority="145" stopIfTrue="1">
      <formula>$A219="begin repeat"</formula>
    </cfRule>
    <cfRule type="expression" dxfId="116" priority="146" stopIfTrue="1">
      <formula>$A219="end group"</formula>
    </cfRule>
    <cfRule type="expression" dxfId="115" priority="147" stopIfTrue="1">
      <formula>OR($A219="calculate", $A219="calculate_here")</formula>
    </cfRule>
  </conditionalFormatting>
  <conditionalFormatting sqref="N222">
    <cfRule type="expression" dxfId="114" priority="68" stopIfTrue="1">
      <formula>$A222="enumerator"</formula>
    </cfRule>
    <cfRule type="expression" dxfId="113" priority="69" stopIfTrue="1">
      <formula>$A222="barcode"</formula>
    </cfRule>
    <cfRule type="expression" dxfId="112" priority="70" stopIfTrue="1">
      <formula>OR($A222="geopoint", $A222="geoshape", $A222="geotrace")</formula>
    </cfRule>
    <cfRule type="expression" dxfId="111" priority="71" stopIfTrue="1">
      <formula>$A222="file"</formula>
    </cfRule>
    <cfRule type="expression" dxfId="110" priority="72" stopIfTrue="1">
      <formula>$A222="note"</formula>
    </cfRule>
    <cfRule type="expression" dxfId="109" priority="73" stopIfTrue="1">
      <formula>$A222="begin group"</formula>
    </cfRule>
    <cfRule type="expression" dxfId="108" priority="74" stopIfTrue="1">
      <formula>OR($A222="audio", $A222="video")</formula>
    </cfRule>
    <cfRule type="expression" dxfId="107" priority="75" stopIfTrue="1">
      <formula>OR($A222="audio audit", $A222="text audit", $A222="speed violations count", $A222="speed violations list", $A222="speed violations audit")</formula>
    </cfRule>
    <cfRule type="expression" dxfId="106" priority="76" stopIfTrue="1">
      <formula>OR(AND(LEFT($A222, 16)="select_multiple ", LEN($A222)&gt;16, NOT(ISNUMBER(SEARCH(" ", $A222, 17)))), AND(LEFT($A222, 11)="select_one ", LEN($A222)&gt;11, NOT(ISNUMBER(SEARCH(" ", $A222, 12)))))</formula>
    </cfRule>
    <cfRule type="expression" dxfId="105" priority="77" stopIfTrue="1">
      <formula>$A222="decimal"</formula>
    </cfRule>
    <cfRule type="expression" dxfId="104" priority="78" stopIfTrue="1">
      <formula>$A222="integer"</formula>
    </cfRule>
    <cfRule type="expression" dxfId="103" priority="79" stopIfTrue="1">
      <formula>$A222="text"</formula>
    </cfRule>
    <cfRule type="expression" dxfId="102" priority="80" stopIfTrue="1">
      <formula>$A222="image"</formula>
    </cfRule>
    <cfRule type="expression" dxfId="101" priority="81" stopIfTrue="1">
      <formula>OR($A222="date", $A222="datetime", $A222="time")</formula>
    </cfRule>
    <cfRule type="expression" dxfId="100" priority="82" stopIfTrue="1">
      <formula>OR($A222="calculate", $A222="calculate_here")</formula>
    </cfRule>
    <cfRule type="expression" dxfId="99" priority="83" stopIfTrue="1">
      <formula>OR($A222="username", $A222="phonenumber", $A222="start", $A222="end", $A222="deviceid", $A222="subscriberid", $A222="simserial", $A222="caseid")</formula>
    </cfRule>
    <cfRule type="expression" dxfId="98" priority="84" stopIfTrue="1">
      <formula>$A222="end repeat"</formula>
    </cfRule>
    <cfRule type="expression" dxfId="97" priority="85" stopIfTrue="1">
      <formula>$A222="begin repeat"</formula>
    </cfRule>
    <cfRule type="expression" dxfId="96" priority="86" stopIfTrue="1">
      <formula>$A222="end group"</formula>
    </cfRule>
    <cfRule type="expression" dxfId="95" priority="87" stopIfTrue="1">
      <formula>OR($A222="calculate", $A222="calculate_here")</formula>
    </cfRule>
  </conditionalFormatting>
  <pageMargins left="0.74791666666666667" right="0.74791666666666667" top="0.98402777777777772" bottom="0.98402777777777772" header="0.51180555555555551" footer="0.51180555555555551"/>
  <pageSetup firstPageNumber="0" orientation="portrait" horizontalDpi="300" verticalDpi="300" r:id="rId1"/>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5"/>
  <sheetViews>
    <sheetView zoomScaleNormal="75" zoomScalePageLayoutView="75" workbookViewId="0">
      <pane ySplit="1" topLeftCell="A2" activePane="bottomLeft" state="frozen"/>
      <selection pane="bottomLeft" activeCell="A8" sqref="A8:C13"/>
    </sheetView>
  </sheetViews>
  <sheetFormatPr baseColWidth="10" defaultColWidth="10.875" defaultRowHeight="15.75"/>
  <cols>
    <col min="1" max="1" width="15.5" style="14" bestFit="1" customWidth="1"/>
    <col min="2" max="2" width="14.5" style="14" customWidth="1"/>
    <col min="3" max="3" width="39.625" style="14" customWidth="1"/>
    <col min="4" max="5" width="10.875" style="14"/>
    <col min="6" max="16384" width="10.875" style="1"/>
  </cols>
  <sheetData>
    <row r="1" spans="1:5" s="3" customFormat="1" ht="18" customHeight="1">
      <c r="A1" s="11" t="s">
        <v>23</v>
      </c>
      <c r="B1" s="11" t="s">
        <v>2</v>
      </c>
      <c r="C1" s="12" t="s">
        <v>22</v>
      </c>
      <c r="D1" s="11" t="s">
        <v>24</v>
      </c>
      <c r="E1" s="11"/>
    </row>
    <row r="2" spans="1:5">
      <c r="A2" s="14" t="s">
        <v>293</v>
      </c>
      <c r="B2" s="14">
        <v>1</v>
      </c>
      <c r="C2" s="15" t="s">
        <v>294</v>
      </c>
    </row>
    <row r="3" spans="1:5">
      <c r="A3" s="15" t="s">
        <v>293</v>
      </c>
      <c r="B3" s="14">
        <v>0</v>
      </c>
      <c r="C3" s="15" t="s">
        <v>26</v>
      </c>
    </row>
    <row r="4" spans="1:5">
      <c r="A4" s="15" t="s">
        <v>37</v>
      </c>
      <c r="B4" s="14">
        <v>1</v>
      </c>
      <c r="C4" s="14" t="s">
        <v>297</v>
      </c>
    </row>
    <row r="5" spans="1:5">
      <c r="A5" s="15" t="s">
        <v>37</v>
      </c>
      <c r="B5" s="14">
        <v>0</v>
      </c>
      <c r="C5" s="14" t="s">
        <v>298</v>
      </c>
    </row>
    <row r="6" spans="1:5">
      <c r="A6" s="15" t="s">
        <v>300</v>
      </c>
      <c r="B6" s="14">
        <v>1</v>
      </c>
      <c r="C6" s="14" t="s">
        <v>301</v>
      </c>
    </row>
    <row r="7" spans="1:5">
      <c r="A7" s="15" t="s">
        <v>300</v>
      </c>
      <c r="B7" s="14">
        <v>0</v>
      </c>
      <c r="C7" s="14" t="s">
        <v>302</v>
      </c>
    </row>
    <row r="8" spans="1:5">
      <c r="A8" s="15" t="s">
        <v>320</v>
      </c>
      <c r="B8" s="14">
        <v>1</v>
      </c>
      <c r="C8" s="14" t="s">
        <v>321</v>
      </c>
    </row>
    <row r="9" spans="1:5">
      <c r="A9" s="15" t="s">
        <v>320</v>
      </c>
      <c r="B9" s="14">
        <v>2</v>
      </c>
      <c r="C9" s="14" t="s">
        <v>322</v>
      </c>
    </row>
    <row r="10" spans="1:5">
      <c r="A10" s="15" t="s">
        <v>320</v>
      </c>
      <c r="B10" s="14">
        <v>3</v>
      </c>
      <c r="C10" s="14" t="s">
        <v>325</v>
      </c>
    </row>
    <row r="11" spans="1:5">
      <c r="A11" s="15" t="s">
        <v>320</v>
      </c>
      <c r="B11" s="14">
        <v>4</v>
      </c>
      <c r="C11" s="14" t="s">
        <v>323</v>
      </c>
    </row>
    <row r="12" spans="1:5">
      <c r="A12" s="15" t="s">
        <v>320</v>
      </c>
      <c r="B12" s="14">
        <v>5</v>
      </c>
      <c r="C12" s="14" t="s">
        <v>324</v>
      </c>
    </row>
    <row r="13" spans="1:5">
      <c r="A13" s="15" t="s">
        <v>320</v>
      </c>
      <c r="B13" s="14">
        <v>6</v>
      </c>
      <c r="C13" s="14" t="s">
        <v>736</v>
      </c>
    </row>
    <row r="14" spans="1:5">
      <c r="A14" s="15" t="s">
        <v>337</v>
      </c>
      <c r="B14" s="14" t="s">
        <v>344</v>
      </c>
      <c r="C14" s="14" t="s">
        <v>344</v>
      </c>
    </row>
    <row r="15" spans="1:5">
      <c r="A15" s="15" t="s">
        <v>337</v>
      </c>
      <c r="B15" s="14">
        <v>77</v>
      </c>
      <c r="C15" s="14" t="s">
        <v>740</v>
      </c>
    </row>
    <row r="16" spans="1:5">
      <c r="A16" s="15" t="s">
        <v>340</v>
      </c>
      <c r="B16" s="14" t="s">
        <v>351</v>
      </c>
      <c r="C16" s="14" t="s">
        <v>351</v>
      </c>
    </row>
    <row r="17" spans="1:3">
      <c r="A17" s="14" t="s">
        <v>352</v>
      </c>
      <c r="B17" s="14">
        <v>1</v>
      </c>
      <c r="C17" s="14" t="s">
        <v>779</v>
      </c>
    </row>
    <row r="18" spans="1:3">
      <c r="A18" s="14" t="s">
        <v>352</v>
      </c>
      <c r="B18" s="14">
        <v>2</v>
      </c>
      <c r="C18" s="14" t="s">
        <v>778</v>
      </c>
    </row>
    <row r="19" spans="1:3">
      <c r="A19" s="14" t="s">
        <v>352</v>
      </c>
      <c r="B19" s="14">
        <v>3</v>
      </c>
      <c r="C19" s="14" t="s">
        <v>780</v>
      </c>
    </row>
    <row r="20" spans="1:3">
      <c r="A20" s="14" t="s">
        <v>790</v>
      </c>
      <c r="B20" s="14">
        <v>1</v>
      </c>
      <c r="C20" s="14" t="s">
        <v>791</v>
      </c>
    </row>
    <row r="21" spans="1:3">
      <c r="A21" s="14" t="s">
        <v>790</v>
      </c>
      <c r="B21" s="14">
        <v>2</v>
      </c>
      <c r="C21" s="14" t="s">
        <v>792</v>
      </c>
    </row>
    <row r="22" spans="1:3">
      <c r="A22" s="14" t="s">
        <v>790</v>
      </c>
      <c r="B22" s="14">
        <v>3</v>
      </c>
      <c r="C22" s="14" t="s">
        <v>793</v>
      </c>
    </row>
    <row r="23" spans="1:3">
      <c r="A23" s="14" t="s">
        <v>790</v>
      </c>
      <c r="B23" s="14">
        <v>4</v>
      </c>
      <c r="C23" s="14" t="s">
        <v>794</v>
      </c>
    </row>
    <row r="24" spans="1:3">
      <c r="A24" s="14" t="s">
        <v>364</v>
      </c>
      <c r="B24" s="14">
        <v>1</v>
      </c>
      <c r="C24" s="14" t="s">
        <v>365</v>
      </c>
    </row>
    <row r="25" spans="1:3">
      <c r="A25" s="15" t="s">
        <v>364</v>
      </c>
      <c r="B25" s="14">
        <v>2</v>
      </c>
      <c r="C25" s="14" t="s">
        <v>366</v>
      </c>
    </row>
    <row r="26" spans="1:3">
      <c r="A26" s="15" t="s">
        <v>364</v>
      </c>
      <c r="B26" s="14">
        <v>3</v>
      </c>
      <c r="C26" s="14" t="s">
        <v>367</v>
      </c>
    </row>
    <row r="27" spans="1:3">
      <c r="A27" s="14" t="s">
        <v>370</v>
      </c>
      <c r="B27" s="14">
        <v>1</v>
      </c>
      <c r="C27" s="14" t="s">
        <v>371</v>
      </c>
    </row>
    <row r="28" spans="1:3">
      <c r="A28" s="14" t="s">
        <v>370</v>
      </c>
      <c r="B28" s="14">
        <v>2</v>
      </c>
      <c r="C28" s="14" t="s">
        <v>372</v>
      </c>
    </row>
    <row r="29" spans="1:3">
      <c r="A29" s="14" t="s">
        <v>370</v>
      </c>
      <c r="B29" s="14">
        <v>3</v>
      </c>
      <c r="C29" s="14" t="s">
        <v>373</v>
      </c>
    </row>
    <row r="30" spans="1:3">
      <c r="A30" s="14" t="s">
        <v>370</v>
      </c>
      <c r="B30" s="14">
        <v>4</v>
      </c>
      <c r="C30" s="14" t="s">
        <v>374</v>
      </c>
    </row>
    <row r="31" spans="1:3">
      <c r="A31" s="14" t="s">
        <v>370</v>
      </c>
      <c r="B31" s="14">
        <v>5</v>
      </c>
      <c r="C31" s="14" t="s">
        <v>375</v>
      </c>
    </row>
    <row r="32" spans="1:3">
      <c r="A32" s="14" t="s">
        <v>370</v>
      </c>
      <c r="B32" s="14">
        <v>6</v>
      </c>
      <c r="C32" s="14" t="s">
        <v>376</v>
      </c>
    </row>
    <row r="33" spans="1:3">
      <c r="A33" s="14" t="s">
        <v>380</v>
      </c>
      <c r="B33" s="14">
        <v>1</v>
      </c>
      <c r="C33" s="14" t="s">
        <v>381</v>
      </c>
    </row>
    <row r="34" spans="1:3">
      <c r="A34" s="14" t="s">
        <v>380</v>
      </c>
      <c r="B34" s="14">
        <v>2</v>
      </c>
      <c r="C34" s="14" t="s">
        <v>382</v>
      </c>
    </row>
    <row r="35" spans="1:3">
      <c r="A35" s="14" t="s">
        <v>380</v>
      </c>
      <c r="B35" s="14">
        <v>3</v>
      </c>
      <c r="C35" s="14" t="s">
        <v>383</v>
      </c>
    </row>
    <row r="36" spans="1:3">
      <c r="A36" s="14" t="s">
        <v>380</v>
      </c>
      <c r="B36" s="14">
        <v>4</v>
      </c>
      <c r="C36" s="14" t="s">
        <v>385</v>
      </c>
    </row>
    <row r="37" spans="1:3">
      <c r="A37" s="14" t="s">
        <v>380</v>
      </c>
      <c r="B37" s="14">
        <v>88</v>
      </c>
      <c r="C37" s="14" t="s">
        <v>384</v>
      </c>
    </row>
    <row r="38" spans="1:3">
      <c r="A38" s="14" t="s">
        <v>395</v>
      </c>
      <c r="B38" s="14">
        <v>1</v>
      </c>
      <c r="C38" s="14" t="s">
        <v>405</v>
      </c>
    </row>
    <row r="39" spans="1:3">
      <c r="A39" s="14" t="s">
        <v>395</v>
      </c>
      <c r="B39" s="14">
        <v>2</v>
      </c>
      <c r="C39" s="14" t="s">
        <v>396</v>
      </c>
    </row>
    <row r="40" spans="1:3">
      <c r="A40" s="14" t="s">
        <v>395</v>
      </c>
      <c r="B40" s="14">
        <v>3</v>
      </c>
      <c r="C40" s="14" t="s">
        <v>397</v>
      </c>
    </row>
    <row r="41" spans="1:3">
      <c r="A41" s="14" t="s">
        <v>395</v>
      </c>
      <c r="B41" s="14">
        <v>4</v>
      </c>
      <c r="C41" s="14" t="s">
        <v>398</v>
      </c>
    </row>
    <row r="42" spans="1:3">
      <c r="A42" s="14" t="s">
        <v>395</v>
      </c>
      <c r="B42" s="14">
        <v>5</v>
      </c>
      <c r="C42" s="14" t="s">
        <v>399</v>
      </c>
    </row>
    <row r="43" spans="1:3">
      <c r="A43" s="14" t="s">
        <v>395</v>
      </c>
      <c r="B43" s="14">
        <v>6</v>
      </c>
      <c r="C43" s="14" t="s">
        <v>400</v>
      </c>
    </row>
    <row r="44" spans="1:3">
      <c r="A44" s="14" t="s">
        <v>395</v>
      </c>
      <c r="B44" s="14">
        <v>7</v>
      </c>
      <c r="C44" s="14" t="s">
        <v>401</v>
      </c>
    </row>
    <row r="45" spans="1:3">
      <c r="A45" s="14" t="s">
        <v>395</v>
      </c>
      <c r="B45" s="14">
        <v>8</v>
      </c>
      <c r="C45" s="14" t="s">
        <v>402</v>
      </c>
    </row>
    <row r="46" spans="1:3">
      <c r="A46" s="14" t="s">
        <v>395</v>
      </c>
      <c r="B46" s="14">
        <v>9</v>
      </c>
      <c r="C46" s="14" t="s">
        <v>403</v>
      </c>
    </row>
    <row r="47" spans="1:3">
      <c r="A47" s="14" t="s">
        <v>410</v>
      </c>
      <c r="B47" s="14">
        <v>1</v>
      </c>
      <c r="C47" s="14" t="s">
        <v>411</v>
      </c>
    </row>
    <row r="48" spans="1:3">
      <c r="A48" s="14" t="s">
        <v>410</v>
      </c>
      <c r="B48" s="14">
        <v>2</v>
      </c>
      <c r="C48" s="14" t="s">
        <v>412</v>
      </c>
    </row>
    <row r="49" spans="1:3">
      <c r="A49" s="14" t="s">
        <v>414</v>
      </c>
      <c r="B49" s="14">
        <v>1</v>
      </c>
      <c r="C49" s="14" t="s">
        <v>415</v>
      </c>
    </row>
    <row r="50" spans="1:3">
      <c r="A50" s="14" t="s">
        <v>414</v>
      </c>
      <c r="B50" s="14">
        <v>2</v>
      </c>
      <c r="C50" s="14" t="s">
        <v>416</v>
      </c>
    </row>
    <row r="51" spans="1:3">
      <c r="A51" s="14" t="s">
        <v>414</v>
      </c>
      <c r="B51" s="14">
        <v>3</v>
      </c>
      <c r="C51" s="14" t="s">
        <v>728</v>
      </c>
    </row>
    <row r="52" spans="1:3">
      <c r="A52" s="14" t="s">
        <v>414</v>
      </c>
      <c r="B52" s="14">
        <v>66</v>
      </c>
      <c r="C52" s="14" t="s">
        <v>417</v>
      </c>
    </row>
    <row r="53" spans="1:3">
      <c r="A53" s="14" t="s">
        <v>425</v>
      </c>
      <c r="B53" s="14">
        <v>1</v>
      </c>
      <c r="C53" s="14" t="s">
        <v>426</v>
      </c>
    </row>
    <row r="54" spans="1:3">
      <c r="A54" s="14" t="s">
        <v>425</v>
      </c>
      <c r="B54" s="14">
        <v>2</v>
      </c>
      <c r="C54" s="14" t="s">
        <v>427</v>
      </c>
    </row>
    <row r="55" spans="1:3">
      <c r="A55" s="14" t="s">
        <v>425</v>
      </c>
      <c r="B55" s="14">
        <v>3</v>
      </c>
      <c r="C55" s="14" t="s">
        <v>428</v>
      </c>
    </row>
    <row r="56" spans="1:3">
      <c r="A56" s="14" t="s">
        <v>425</v>
      </c>
      <c r="B56" s="14">
        <v>66</v>
      </c>
      <c r="C56" s="14" t="s">
        <v>429</v>
      </c>
    </row>
    <row r="57" spans="1:3">
      <c r="A57" s="14" t="s">
        <v>440</v>
      </c>
      <c r="B57" s="14">
        <v>1</v>
      </c>
      <c r="C57" s="14" t="s">
        <v>441</v>
      </c>
    </row>
    <row r="58" spans="1:3">
      <c r="A58" s="14" t="s">
        <v>440</v>
      </c>
      <c r="B58" s="14">
        <v>2</v>
      </c>
      <c r="C58" s="14" t="s">
        <v>442</v>
      </c>
    </row>
    <row r="59" spans="1:3">
      <c r="A59" s="14" t="s">
        <v>440</v>
      </c>
      <c r="B59" s="14">
        <v>3</v>
      </c>
      <c r="C59" s="14" t="s">
        <v>443</v>
      </c>
    </row>
    <row r="60" spans="1:3">
      <c r="A60" s="14" t="s">
        <v>440</v>
      </c>
      <c r="B60" s="14">
        <v>4</v>
      </c>
      <c r="C60" s="14" t="s">
        <v>444</v>
      </c>
    </row>
    <row r="61" spans="1:3">
      <c r="A61" s="14" t="s">
        <v>440</v>
      </c>
      <c r="B61" s="14">
        <v>5</v>
      </c>
      <c r="C61" s="14" t="s">
        <v>445</v>
      </c>
    </row>
    <row r="62" spans="1:3">
      <c r="A62" s="14" t="s">
        <v>440</v>
      </c>
      <c r="B62" s="14">
        <v>6</v>
      </c>
      <c r="C62" s="14" t="s">
        <v>446</v>
      </c>
    </row>
    <row r="63" spans="1:3">
      <c r="A63" s="14" t="s">
        <v>440</v>
      </c>
      <c r="B63" s="14">
        <v>7</v>
      </c>
      <c r="C63" s="14" t="s">
        <v>447</v>
      </c>
    </row>
    <row r="64" spans="1:3">
      <c r="A64" s="14" t="s">
        <v>440</v>
      </c>
      <c r="B64" s="14">
        <v>8</v>
      </c>
      <c r="C64" s="14" t="s">
        <v>448</v>
      </c>
    </row>
    <row r="65" spans="1:3">
      <c r="A65" s="14" t="s">
        <v>440</v>
      </c>
      <c r="B65" s="14">
        <v>9</v>
      </c>
      <c r="C65" s="14" t="s">
        <v>449</v>
      </c>
    </row>
    <row r="66" spans="1:3">
      <c r="A66" s="14" t="s">
        <v>440</v>
      </c>
      <c r="B66" s="14">
        <v>10</v>
      </c>
      <c r="C66" s="14" t="s">
        <v>450</v>
      </c>
    </row>
    <row r="67" spans="1:3">
      <c r="A67" s="14" t="s">
        <v>440</v>
      </c>
      <c r="B67" s="14">
        <v>11</v>
      </c>
      <c r="C67" s="14" t="s">
        <v>451</v>
      </c>
    </row>
    <row r="68" spans="1:3">
      <c r="A68" s="14" t="s">
        <v>440</v>
      </c>
      <c r="B68" s="14">
        <v>12</v>
      </c>
      <c r="C68" s="14" t="s">
        <v>452</v>
      </c>
    </row>
    <row r="69" spans="1:3">
      <c r="A69" s="14" t="s">
        <v>440</v>
      </c>
      <c r="B69" s="14">
        <v>13</v>
      </c>
      <c r="C69" s="14" t="s">
        <v>453</v>
      </c>
    </row>
    <row r="70" spans="1:3">
      <c r="A70" s="14" t="s">
        <v>440</v>
      </c>
      <c r="B70" s="14">
        <v>14</v>
      </c>
      <c r="C70" s="14" t="s">
        <v>454</v>
      </c>
    </row>
    <row r="71" spans="1:3">
      <c r="A71" s="14" t="s">
        <v>440</v>
      </c>
      <c r="B71" s="14">
        <v>15</v>
      </c>
      <c r="C71" s="14" t="s">
        <v>455</v>
      </c>
    </row>
    <row r="72" spans="1:3">
      <c r="A72" s="14" t="s">
        <v>440</v>
      </c>
      <c r="B72" s="14">
        <v>16</v>
      </c>
      <c r="C72" s="14" t="s">
        <v>456</v>
      </c>
    </row>
    <row r="73" spans="1:3">
      <c r="A73" s="14" t="s">
        <v>440</v>
      </c>
      <c r="B73" s="14">
        <v>17</v>
      </c>
      <c r="C73" s="14" t="s">
        <v>457</v>
      </c>
    </row>
    <row r="74" spans="1:3">
      <c r="A74" s="14" t="s">
        <v>467</v>
      </c>
      <c r="B74" s="14">
        <v>1</v>
      </c>
      <c r="C74" s="53" t="s">
        <v>457</v>
      </c>
    </row>
    <row r="75" spans="1:3">
      <c r="A75" s="14" t="s">
        <v>467</v>
      </c>
      <c r="B75" s="14">
        <v>2</v>
      </c>
      <c r="C75" s="53" t="s">
        <v>458</v>
      </c>
    </row>
    <row r="76" spans="1:3">
      <c r="A76" s="14" t="s">
        <v>467</v>
      </c>
      <c r="B76" s="14">
        <v>3</v>
      </c>
      <c r="C76" s="53" t="s">
        <v>459</v>
      </c>
    </row>
    <row r="77" spans="1:3">
      <c r="A77" s="14" t="s">
        <v>467</v>
      </c>
      <c r="B77" s="14">
        <v>4</v>
      </c>
      <c r="C77" s="53" t="s">
        <v>460</v>
      </c>
    </row>
    <row r="78" spans="1:3">
      <c r="A78" s="14" t="s">
        <v>467</v>
      </c>
      <c r="B78" s="14">
        <v>5</v>
      </c>
      <c r="C78" s="53" t="s">
        <v>461</v>
      </c>
    </row>
    <row r="79" spans="1:3">
      <c r="A79" s="14" t="s">
        <v>467</v>
      </c>
      <c r="B79" s="14">
        <v>6</v>
      </c>
      <c r="C79" s="53" t="s">
        <v>462</v>
      </c>
    </row>
    <row r="80" spans="1:3">
      <c r="A80" s="14" t="s">
        <v>467</v>
      </c>
      <c r="B80" s="14">
        <v>7</v>
      </c>
      <c r="C80" s="53" t="s">
        <v>463</v>
      </c>
    </row>
    <row r="81" spans="1:3">
      <c r="A81" s="14" t="s">
        <v>467</v>
      </c>
      <c r="B81" s="14">
        <v>8</v>
      </c>
      <c r="C81" s="53" t="s">
        <v>464</v>
      </c>
    </row>
    <row r="82" spans="1:3">
      <c r="A82" s="14" t="s">
        <v>467</v>
      </c>
      <c r="B82" s="14">
        <v>9</v>
      </c>
      <c r="C82" s="53" t="s">
        <v>465</v>
      </c>
    </row>
    <row r="83" spans="1:3">
      <c r="A83" s="14" t="s">
        <v>467</v>
      </c>
      <c r="B83" s="14">
        <v>99</v>
      </c>
      <c r="C83" s="53" t="s">
        <v>466</v>
      </c>
    </row>
    <row r="84" spans="1:3">
      <c r="A84" s="14" t="s">
        <v>472</v>
      </c>
      <c r="B84" s="14">
        <v>1</v>
      </c>
      <c r="C84" s="14" t="s">
        <v>473</v>
      </c>
    </row>
    <row r="85" spans="1:3">
      <c r="A85" s="14" t="s">
        <v>472</v>
      </c>
      <c r="B85" s="14">
        <v>2</v>
      </c>
      <c r="C85" s="14" t="s">
        <v>474</v>
      </c>
    </row>
    <row r="86" spans="1:3">
      <c r="A86" s="14" t="s">
        <v>472</v>
      </c>
      <c r="B86" s="14">
        <v>3</v>
      </c>
      <c r="C86" s="14" t="s">
        <v>475</v>
      </c>
    </row>
    <row r="87" spans="1:3">
      <c r="A87" s="14" t="s">
        <v>472</v>
      </c>
      <c r="B87" s="14">
        <v>4</v>
      </c>
      <c r="C87" s="14" t="s">
        <v>476</v>
      </c>
    </row>
    <row r="88" spans="1:3">
      <c r="A88" s="14" t="s">
        <v>480</v>
      </c>
      <c r="B88" s="14">
        <v>1</v>
      </c>
      <c r="C88" s="14" t="s">
        <v>481</v>
      </c>
    </row>
    <row r="89" spans="1:3">
      <c r="A89" s="14" t="s">
        <v>480</v>
      </c>
      <c r="B89" s="14">
        <v>2</v>
      </c>
      <c r="C89" s="14" t="s">
        <v>482</v>
      </c>
    </row>
    <row r="90" spans="1:3">
      <c r="A90" s="14" t="s">
        <v>480</v>
      </c>
      <c r="B90" s="14">
        <v>3</v>
      </c>
      <c r="C90" s="14" t="s">
        <v>483</v>
      </c>
    </row>
    <row r="91" spans="1:3">
      <c r="A91" s="14" t="s">
        <v>480</v>
      </c>
      <c r="B91" s="14">
        <v>4</v>
      </c>
      <c r="C91" s="14" t="s">
        <v>484</v>
      </c>
    </row>
    <row r="92" spans="1:3">
      <c r="A92" s="14" t="s">
        <v>480</v>
      </c>
      <c r="B92" s="14">
        <v>5</v>
      </c>
      <c r="C92" s="14" t="s">
        <v>485</v>
      </c>
    </row>
    <row r="93" spans="1:3">
      <c r="A93" s="14" t="s">
        <v>480</v>
      </c>
      <c r="B93" s="14">
        <v>6</v>
      </c>
      <c r="C93" s="14" t="s">
        <v>486</v>
      </c>
    </row>
    <row r="94" spans="1:3">
      <c r="A94" s="14" t="s">
        <v>480</v>
      </c>
      <c r="B94" s="14">
        <v>66</v>
      </c>
      <c r="C94" s="14" t="s">
        <v>417</v>
      </c>
    </row>
    <row r="95" spans="1:3">
      <c r="A95" s="14" t="s">
        <v>488</v>
      </c>
      <c r="B95" s="14">
        <v>1</v>
      </c>
      <c r="C95" s="14" t="s">
        <v>294</v>
      </c>
    </row>
    <row r="96" spans="1:3">
      <c r="A96" s="14" t="s">
        <v>488</v>
      </c>
      <c r="B96" s="14">
        <v>2</v>
      </c>
      <c r="C96" s="14" t="s">
        <v>26</v>
      </c>
    </row>
    <row r="97" spans="1:3">
      <c r="A97" s="14" t="s">
        <v>488</v>
      </c>
      <c r="B97" s="14">
        <v>3</v>
      </c>
      <c r="C97" s="14" t="s">
        <v>491</v>
      </c>
    </row>
    <row r="98" spans="1:3">
      <c r="A98" s="14" t="s">
        <v>488</v>
      </c>
      <c r="B98" s="14">
        <v>99</v>
      </c>
      <c r="C98" s="14" t="s">
        <v>466</v>
      </c>
    </row>
    <row r="99" spans="1:3">
      <c r="A99" s="14" t="s">
        <v>524</v>
      </c>
      <c r="B99" s="14">
        <v>1</v>
      </c>
      <c r="C99" s="14" t="s">
        <v>525</v>
      </c>
    </row>
    <row r="100" spans="1:3">
      <c r="A100" s="14" t="s">
        <v>524</v>
      </c>
      <c r="B100" s="14">
        <v>2</v>
      </c>
      <c r="C100" s="14" t="s">
        <v>526</v>
      </c>
    </row>
    <row r="101" spans="1:3">
      <c r="A101" s="14" t="s">
        <v>524</v>
      </c>
      <c r="B101" s="14">
        <v>3</v>
      </c>
      <c r="C101" s="14" t="s">
        <v>527</v>
      </c>
    </row>
    <row r="102" spans="1:3">
      <c r="A102" s="14" t="s">
        <v>524</v>
      </c>
      <c r="B102" s="14">
        <v>4</v>
      </c>
      <c r="C102" s="14" t="s">
        <v>528</v>
      </c>
    </row>
    <row r="103" spans="1:3">
      <c r="A103" s="14" t="s">
        <v>524</v>
      </c>
      <c r="B103" s="14">
        <v>5</v>
      </c>
      <c r="C103" s="14" t="s">
        <v>529</v>
      </c>
    </row>
    <row r="104" spans="1:3">
      <c r="A104" s="14" t="s">
        <v>524</v>
      </c>
      <c r="B104" s="14">
        <v>99</v>
      </c>
      <c r="C104" s="14" t="s">
        <v>530</v>
      </c>
    </row>
    <row r="105" spans="1:3">
      <c r="A105" s="14" t="s">
        <v>535</v>
      </c>
      <c r="B105" s="14">
        <v>1</v>
      </c>
      <c r="C105" s="14" t="s">
        <v>536</v>
      </c>
    </row>
    <row r="106" spans="1:3">
      <c r="A106" s="14" t="s">
        <v>535</v>
      </c>
      <c r="B106" s="14">
        <v>2</v>
      </c>
      <c r="C106" s="14" t="s">
        <v>537</v>
      </c>
    </row>
    <row r="107" spans="1:3">
      <c r="A107" s="14" t="s">
        <v>535</v>
      </c>
      <c r="B107" s="14">
        <v>3</v>
      </c>
      <c r="C107" s="14" t="s">
        <v>538</v>
      </c>
    </row>
    <row r="108" spans="1:3">
      <c r="A108" s="14" t="s">
        <v>535</v>
      </c>
      <c r="B108" s="14">
        <v>4</v>
      </c>
      <c r="C108" s="14" t="s">
        <v>744</v>
      </c>
    </row>
    <row r="109" spans="1:3">
      <c r="A109" s="14" t="s">
        <v>542</v>
      </c>
      <c r="B109" s="14">
        <v>1</v>
      </c>
      <c r="C109" s="14" t="s">
        <v>820</v>
      </c>
    </row>
    <row r="110" spans="1:3">
      <c r="A110" s="14" t="s">
        <v>542</v>
      </c>
      <c r="B110" s="14">
        <v>2</v>
      </c>
      <c r="C110" s="14" t="s">
        <v>821</v>
      </c>
    </row>
    <row r="111" spans="1:3">
      <c r="A111" s="14" t="s">
        <v>542</v>
      </c>
      <c r="B111" s="14">
        <v>3</v>
      </c>
      <c r="C111" s="14" t="s">
        <v>606</v>
      </c>
    </row>
    <row r="112" spans="1:3">
      <c r="A112" s="14" t="s">
        <v>542</v>
      </c>
      <c r="B112" s="14">
        <v>4</v>
      </c>
      <c r="C112" s="14" t="s">
        <v>607</v>
      </c>
    </row>
    <row r="113" spans="1:3">
      <c r="A113" s="14" t="s">
        <v>542</v>
      </c>
      <c r="B113" s="14">
        <v>3</v>
      </c>
      <c r="C113" s="14" t="s">
        <v>543</v>
      </c>
    </row>
    <row r="114" spans="1:3">
      <c r="A114" s="14" t="s">
        <v>542</v>
      </c>
      <c r="B114" s="14">
        <v>99</v>
      </c>
      <c r="C114" s="14" t="s">
        <v>530</v>
      </c>
    </row>
    <row r="115" spans="1:3">
      <c r="A115" s="14" t="s">
        <v>549</v>
      </c>
      <c r="B115" s="14">
        <v>0</v>
      </c>
      <c r="C115" s="14" t="s">
        <v>577</v>
      </c>
    </row>
    <row r="116" spans="1:3">
      <c r="A116" s="14" t="s">
        <v>549</v>
      </c>
      <c r="B116" s="14">
        <v>1</v>
      </c>
      <c r="C116" s="14" t="s">
        <v>578</v>
      </c>
    </row>
    <row r="117" spans="1:3">
      <c r="A117" s="14" t="s">
        <v>549</v>
      </c>
      <c r="B117" s="14">
        <v>2</v>
      </c>
      <c r="C117" s="14" t="s">
        <v>579</v>
      </c>
    </row>
    <row r="118" spans="1:3">
      <c r="A118" s="14" t="s">
        <v>549</v>
      </c>
      <c r="B118" s="14">
        <v>3</v>
      </c>
      <c r="C118" s="14" t="s">
        <v>580</v>
      </c>
    </row>
    <row r="119" spans="1:3">
      <c r="A119" s="14" t="s">
        <v>549</v>
      </c>
      <c r="B119" s="14">
        <v>4</v>
      </c>
      <c r="C119" s="14" t="s">
        <v>581</v>
      </c>
    </row>
    <row r="120" spans="1:3">
      <c r="A120" s="14" t="s">
        <v>549</v>
      </c>
      <c r="B120" s="14">
        <v>5</v>
      </c>
      <c r="C120" s="14" t="s">
        <v>582</v>
      </c>
    </row>
    <row r="121" spans="1:3">
      <c r="A121" s="14" t="s">
        <v>549</v>
      </c>
      <c r="B121" s="14">
        <v>6</v>
      </c>
      <c r="C121" s="14" t="s">
        <v>583</v>
      </c>
    </row>
    <row r="122" spans="1:3">
      <c r="A122" s="14" t="s">
        <v>549</v>
      </c>
      <c r="B122" s="14">
        <v>7</v>
      </c>
      <c r="C122" s="14" t="s">
        <v>584</v>
      </c>
    </row>
    <row r="123" spans="1:3">
      <c r="A123" s="14" t="s">
        <v>593</v>
      </c>
      <c r="B123" s="14">
        <v>1</v>
      </c>
      <c r="C123" s="14" t="s">
        <v>594</v>
      </c>
    </row>
    <row r="124" spans="1:3">
      <c r="A124" s="14" t="s">
        <v>593</v>
      </c>
      <c r="B124" s="14">
        <v>2</v>
      </c>
      <c r="C124" s="14" t="s">
        <v>595</v>
      </c>
    </row>
    <row r="125" spans="1:3">
      <c r="A125" s="14" t="s">
        <v>593</v>
      </c>
      <c r="B125" s="14">
        <v>3</v>
      </c>
      <c r="C125" s="14" t="s">
        <v>596</v>
      </c>
    </row>
    <row r="126" spans="1:3">
      <c r="A126" s="14" t="s">
        <v>622</v>
      </c>
      <c r="B126" s="14">
        <v>1</v>
      </c>
      <c r="C126" s="14" t="s">
        <v>604</v>
      </c>
    </row>
    <row r="127" spans="1:3">
      <c r="A127" s="14" t="s">
        <v>622</v>
      </c>
      <c r="B127" s="14">
        <v>2</v>
      </c>
      <c r="C127" s="14" t="s">
        <v>605</v>
      </c>
    </row>
    <row r="128" spans="1:3">
      <c r="A128" s="14" t="s">
        <v>622</v>
      </c>
      <c r="B128" s="14">
        <v>3</v>
      </c>
      <c r="C128" s="14" t="s">
        <v>606</v>
      </c>
    </row>
    <row r="129" spans="1:3">
      <c r="A129" s="14" t="s">
        <v>622</v>
      </c>
      <c r="B129" s="14">
        <v>4</v>
      </c>
      <c r="C129" s="14" t="s">
        <v>607</v>
      </c>
    </row>
    <row r="130" spans="1:3">
      <c r="A130" s="14" t="s">
        <v>622</v>
      </c>
      <c r="B130" s="14">
        <v>5</v>
      </c>
      <c r="C130" s="14" t="s">
        <v>608</v>
      </c>
    </row>
    <row r="131" spans="1:3">
      <c r="A131" s="14" t="s">
        <v>623</v>
      </c>
      <c r="B131" s="14">
        <v>1</v>
      </c>
      <c r="C131" s="14" t="s">
        <v>609</v>
      </c>
    </row>
    <row r="132" spans="1:3">
      <c r="A132" s="14" t="s">
        <v>623</v>
      </c>
      <c r="B132" s="14">
        <v>2</v>
      </c>
      <c r="C132" s="14" t="s">
        <v>610</v>
      </c>
    </row>
    <row r="133" spans="1:3">
      <c r="A133" s="14" t="s">
        <v>623</v>
      </c>
      <c r="B133" s="14">
        <v>3</v>
      </c>
      <c r="C133" s="14" t="s">
        <v>611</v>
      </c>
    </row>
    <row r="134" spans="1:3">
      <c r="A134" s="14" t="s">
        <v>624</v>
      </c>
      <c r="B134" s="14">
        <v>1</v>
      </c>
      <c r="C134" s="14" t="s">
        <v>612</v>
      </c>
    </row>
    <row r="135" spans="1:3">
      <c r="A135" s="14" t="s">
        <v>624</v>
      </c>
      <c r="B135" s="14">
        <v>2</v>
      </c>
      <c r="C135" s="14" t="s">
        <v>613</v>
      </c>
    </row>
    <row r="136" spans="1:3">
      <c r="A136" s="14" t="s">
        <v>624</v>
      </c>
      <c r="B136" s="14">
        <v>3</v>
      </c>
      <c r="C136" s="14" t="s">
        <v>614</v>
      </c>
    </row>
    <row r="137" spans="1:3">
      <c r="A137" s="14" t="s">
        <v>625</v>
      </c>
      <c r="B137" s="14">
        <v>1</v>
      </c>
      <c r="C137" s="14" t="s">
        <v>626</v>
      </c>
    </row>
    <row r="138" spans="1:3">
      <c r="A138" s="14" t="s">
        <v>625</v>
      </c>
      <c r="B138" s="14">
        <v>2</v>
      </c>
      <c r="C138" s="14" t="s">
        <v>627</v>
      </c>
    </row>
    <row r="139" spans="1:3">
      <c r="A139" s="14" t="s">
        <v>625</v>
      </c>
      <c r="B139" s="14">
        <v>3</v>
      </c>
      <c r="C139" s="14" t="s">
        <v>615</v>
      </c>
    </row>
    <row r="140" spans="1:3">
      <c r="A140" s="14" t="s">
        <v>625</v>
      </c>
      <c r="B140" s="14">
        <v>4</v>
      </c>
      <c r="C140" s="14" t="s">
        <v>616</v>
      </c>
    </row>
    <row r="141" spans="1:3">
      <c r="A141" s="14" t="s">
        <v>625</v>
      </c>
      <c r="B141" s="14">
        <v>5</v>
      </c>
      <c r="C141" s="14" t="s">
        <v>628</v>
      </c>
    </row>
    <row r="142" spans="1:3">
      <c r="A142" s="14" t="s">
        <v>625</v>
      </c>
      <c r="B142" s="14">
        <v>6</v>
      </c>
      <c r="C142" s="14" t="s">
        <v>617</v>
      </c>
    </row>
    <row r="143" spans="1:3">
      <c r="A143" s="14" t="s">
        <v>625</v>
      </c>
      <c r="B143" s="14">
        <v>7</v>
      </c>
      <c r="C143" s="14" t="s">
        <v>618</v>
      </c>
    </row>
    <row r="144" spans="1:3">
      <c r="A144" s="14" t="s">
        <v>625</v>
      </c>
      <c r="B144" s="14">
        <v>8</v>
      </c>
      <c r="C144" s="14" t="s">
        <v>629</v>
      </c>
    </row>
    <row r="145" spans="1:3">
      <c r="A145" s="14" t="s">
        <v>625</v>
      </c>
      <c r="B145" s="14">
        <v>9</v>
      </c>
      <c r="C145" s="14" t="s">
        <v>630</v>
      </c>
    </row>
    <row r="146" spans="1:3">
      <c r="A146" s="14" t="s">
        <v>625</v>
      </c>
      <c r="B146" s="14">
        <v>10</v>
      </c>
      <c r="C146" s="14" t="s">
        <v>619</v>
      </c>
    </row>
    <row r="147" spans="1:3">
      <c r="A147" s="14" t="s">
        <v>625</v>
      </c>
      <c r="B147" s="14">
        <v>11</v>
      </c>
      <c r="C147" s="14" t="s">
        <v>620</v>
      </c>
    </row>
    <row r="148" spans="1:3">
      <c r="A148" s="14" t="s">
        <v>625</v>
      </c>
      <c r="B148" s="14">
        <v>12</v>
      </c>
      <c r="C148" s="14" t="s">
        <v>631</v>
      </c>
    </row>
    <row r="149" spans="1:3">
      <c r="A149" s="14" t="s">
        <v>625</v>
      </c>
      <c r="B149" s="14">
        <v>13</v>
      </c>
      <c r="C149" s="14" t="s">
        <v>621</v>
      </c>
    </row>
    <row r="150" spans="1:3">
      <c r="A150" s="14" t="s">
        <v>625</v>
      </c>
      <c r="B150" s="14">
        <v>66</v>
      </c>
      <c r="C150" s="14" t="s">
        <v>869</v>
      </c>
    </row>
    <row r="151" spans="1:3">
      <c r="A151" s="14" t="s">
        <v>690</v>
      </c>
      <c r="B151" s="14">
        <v>1</v>
      </c>
      <c r="C151" s="14" t="s">
        <v>604</v>
      </c>
    </row>
    <row r="152" spans="1:3">
      <c r="A152" s="14" t="s">
        <v>690</v>
      </c>
      <c r="B152" s="14">
        <v>2</v>
      </c>
      <c r="C152" s="14" t="s">
        <v>691</v>
      </c>
    </row>
    <row r="153" spans="1:3">
      <c r="A153" s="14" t="s">
        <v>690</v>
      </c>
      <c r="B153" s="14">
        <v>3</v>
      </c>
      <c r="C153" s="14" t="s">
        <v>692</v>
      </c>
    </row>
    <row r="154" spans="1:3">
      <c r="A154" s="14" t="s">
        <v>690</v>
      </c>
      <c r="B154" s="14">
        <v>4</v>
      </c>
      <c r="C154" s="14" t="s">
        <v>693</v>
      </c>
    </row>
    <row r="155" spans="1:3">
      <c r="A155" s="14" t="s">
        <v>690</v>
      </c>
      <c r="B155" s="14">
        <v>5</v>
      </c>
      <c r="C155" s="14" t="s">
        <v>429</v>
      </c>
    </row>
    <row r="156" spans="1:3">
      <c r="A156" s="14" t="s">
        <v>805</v>
      </c>
      <c r="B156" s="14">
        <v>1</v>
      </c>
      <c r="C156" s="14" t="s">
        <v>806</v>
      </c>
    </row>
    <row r="157" spans="1:3">
      <c r="A157" s="14" t="s">
        <v>805</v>
      </c>
      <c r="B157" s="14">
        <v>2</v>
      </c>
      <c r="C157" s="14" t="s">
        <v>807</v>
      </c>
    </row>
    <row r="158" spans="1:3">
      <c r="A158" s="14" t="s">
        <v>805</v>
      </c>
      <c r="B158" s="14">
        <v>3</v>
      </c>
      <c r="C158" s="14" t="s">
        <v>808</v>
      </c>
    </row>
    <row r="159" spans="1:3">
      <c r="A159" s="14" t="s">
        <v>805</v>
      </c>
      <c r="B159" s="14">
        <v>4</v>
      </c>
      <c r="C159" s="14" t="s">
        <v>809</v>
      </c>
    </row>
    <row r="160" spans="1:3">
      <c r="A160" s="14" t="s">
        <v>805</v>
      </c>
      <c r="B160" s="14">
        <v>5</v>
      </c>
      <c r="C160" s="14" t="s">
        <v>810</v>
      </c>
    </row>
    <row r="161" spans="1:3" ht="16.5" thickBot="1">
      <c r="A161" s="14" t="s">
        <v>805</v>
      </c>
      <c r="B161" s="14">
        <v>6</v>
      </c>
      <c r="C161" s="14" t="s">
        <v>811</v>
      </c>
    </row>
    <row r="162" spans="1:3">
      <c r="A162" s="14" t="s">
        <v>522</v>
      </c>
      <c r="B162" s="14">
        <v>1</v>
      </c>
      <c r="C162" s="55" t="s">
        <v>843</v>
      </c>
    </row>
    <row r="163" spans="1:3">
      <c r="A163" s="14" t="s">
        <v>522</v>
      </c>
      <c r="B163" s="14">
        <v>2</v>
      </c>
      <c r="C163" t="s">
        <v>844</v>
      </c>
    </row>
    <row r="164" spans="1:3">
      <c r="A164" s="14" t="s">
        <v>522</v>
      </c>
      <c r="B164" s="14">
        <v>3</v>
      </c>
      <c r="C164" t="s">
        <v>845</v>
      </c>
    </row>
    <row r="165" spans="1:3">
      <c r="A165" s="14" t="s">
        <v>522</v>
      </c>
      <c r="B165" s="14">
        <v>4</v>
      </c>
      <c r="C165" t="s">
        <v>846</v>
      </c>
    </row>
    <row r="166" spans="1:3">
      <c r="A166" s="14" t="s">
        <v>522</v>
      </c>
      <c r="B166" s="14">
        <v>5</v>
      </c>
      <c r="C166" t="s">
        <v>847</v>
      </c>
    </row>
    <row r="167" spans="1:3">
      <c r="A167" s="14" t="s">
        <v>522</v>
      </c>
      <c r="B167" s="14">
        <v>6</v>
      </c>
      <c r="C167" t="s">
        <v>848</v>
      </c>
    </row>
    <row r="168" spans="1:3">
      <c r="A168" s="14" t="s">
        <v>522</v>
      </c>
      <c r="B168" s="14">
        <v>7</v>
      </c>
      <c r="C168" t="s">
        <v>849</v>
      </c>
    </row>
    <row r="169" spans="1:3">
      <c r="A169" s="14" t="s">
        <v>522</v>
      </c>
      <c r="B169" s="14">
        <v>66</v>
      </c>
      <c r="C169" t="s">
        <v>417</v>
      </c>
    </row>
    <row r="170" spans="1:3" ht="16.5" thickBot="1">
      <c r="A170" s="14" t="s">
        <v>522</v>
      </c>
      <c r="B170" s="14">
        <v>8</v>
      </c>
      <c r="C170" s="56" t="s">
        <v>861</v>
      </c>
    </row>
    <row r="171" spans="1:3">
      <c r="A171" s="14" t="s">
        <v>523</v>
      </c>
      <c r="B171" s="14">
        <v>1</v>
      </c>
      <c r="C171" s="14" t="s">
        <v>854</v>
      </c>
    </row>
    <row r="172" spans="1:3">
      <c r="A172" s="14" t="s">
        <v>523</v>
      </c>
      <c r="B172" s="14">
        <v>2</v>
      </c>
      <c r="C172" s="14" t="s">
        <v>855</v>
      </c>
    </row>
    <row r="173" spans="1:3">
      <c r="A173" s="14" t="s">
        <v>523</v>
      </c>
      <c r="B173" s="14">
        <v>3</v>
      </c>
      <c r="C173" s="14" t="s">
        <v>856</v>
      </c>
    </row>
    <row r="174" spans="1:3">
      <c r="A174" s="14" t="s">
        <v>523</v>
      </c>
      <c r="B174" s="14">
        <v>4</v>
      </c>
      <c r="C174" s="14" t="s">
        <v>857</v>
      </c>
    </row>
    <row r="175" spans="1:3">
      <c r="A175" s="14" t="s">
        <v>523</v>
      </c>
      <c r="B175" s="14">
        <v>5</v>
      </c>
      <c r="C175" s="14" t="s">
        <v>858</v>
      </c>
    </row>
    <row r="176" spans="1:3">
      <c r="A176" s="14" t="s">
        <v>523</v>
      </c>
      <c r="B176" s="14">
        <v>6</v>
      </c>
      <c r="C176" s="14" t="s">
        <v>859</v>
      </c>
    </row>
    <row r="177" spans="1:3">
      <c r="A177" s="14" t="s">
        <v>523</v>
      </c>
      <c r="B177" s="14">
        <v>7</v>
      </c>
      <c r="C177" s="14" t="s">
        <v>860</v>
      </c>
    </row>
    <row r="178" spans="1:3">
      <c r="A178" s="14" t="s">
        <v>523</v>
      </c>
      <c r="B178" s="14">
        <v>66</v>
      </c>
      <c r="C178" s="14" t="s">
        <v>429</v>
      </c>
    </row>
    <row r="179" spans="1:3">
      <c r="A179" s="14" t="s">
        <v>523</v>
      </c>
      <c r="B179" s="14">
        <v>8</v>
      </c>
      <c r="C179" s="14" t="s">
        <v>862</v>
      </c>
    </row>
    <row r="180" spans="1:3">
      <c r="A180" s="14" t="s">
        <v>888</v>
      </c>
      <c r="B180" s="14">
        <v>1</v>
      </c>
      <c r="C180" s="14" t="s">
        <v>889</v>
      </c>
    </row>
    <row r="181" spans="1:3">
      <c r="A181" s="14" t="s">
        <v>888</v>
      </c>
      <c r="B181" s="14">
        <v>2</v>
      </c>
      <c r="C181" s="14" t="s">
        <v>485</v>
      </c>
    </row>
    <row r="182" spans="1:3">
      <c r="A182" s="14" t="s">
        <v>888</v>
      </c>
      <c r="B182" s="14">
        <v>3</v>
      </c>
      <c r="C182" s="14" t="s">
        <v>890</v>
      </c>
    </row>
    <row r="183" spans="1:3">
      <c r="A183" s="14" t="s">
        <v>888</v>
      </c>
      <c r="B183" s="14">
        <v>4</v>
      </c>
      <c r="C183" s="14" t="s">
        <v>484</v>
      </c>
    </row>
    <row r="184" spans="1:3">
      <c r="A184" s="14" t="s">
        <v>888</v>
      </c>
      <c r="B184" s="14">
        <v>5</v>
      </c>
      <c r="C184" s="14" t="s">
        <v>891</v>
      </c>
    </row>
    <row r="185" spans="1:3">
      <c r="A185" s="14" t="s">
        <v>888</v>
      </c>
      <c r="B185" s="14">
        <v>6</v>
      </c>
      <c r="C185" s="14" t="s">
        <v>486</v>
      </c>
    </row>
    <row r="186" spans="1:3">
      <c r="A186" s="14" t="s">
        <v>888</v>
      </c>
      <c r="B186" s="14">
        <v>7</v>
      </c>
      <c r="C186" s="14" t="s">
        <v>892</v>
      </c>
    </row>
    <row r="187" spans="1:3">
      <c r="A187" s="14" t="s">
        <v>888</v>
      </c>
      <c r="B187" s="14">
        <v>8</v>
      </c>
      <c r="C187" s="14" t="s">
        <v>893</v>
      </c>
    </row>
    <row r="188" spans="1:3">
      <c r="A188" s="14" t="s">
        <v>888</v>
      </c>
      <c r="B188" s="14">
        <v>9</v>
      </c>
      <c r="C188" s="14" t="s">
        <v>894</v>
      </c>
    </row>
    <row r="189" spans="1:3">
      <c r="A189" s="14" t="s">
        <v>888</v>
      </c>
      <c r="B189" s="14">
        <v>10</v>
      </c>
      <c r="C189" s="14" t="s">
        <v>895</v>
      </c>
    </row>
    <row r="190" spans="1:3">
      <c r="A190" s="14" t="s">
        <v>888</v>
      </c>
      <c r="B190" s="14">
        <v>11</v>
      </c>
      <c r="C190" s="14" t="s">
        <v>896</v>
      </c>
    </row>
    <row r="191" spans="1:3">
      <c r="A191" s="14" t="s">
        <v>888</v>
      </c>
      <c r="B191" s="14">
        <v>12</v>
      </c>
      <c r="C191" s="14" t="s">
        <v>897</v>
      </c>
    </row>
    <row r="192" spans="1:3">
      <c r="A192" s="14" t="s">
        <v>888</v>
      </c>
      <c r="B192" s="14">
        <v>13</v>
      </c>
      <c r="C192" s="14" t="s">
        <v>898</v>
      </c>
    </row>
    <row r="193" spans="1:3">
      <c r="A193" s="14" t="s">
        <v>888</v>
      </c>
      <c r="B193" s="14">
        <v>14</v>
      </c>
      <c r="C193" s="14" t="s">
        <v>899</v>
      </c>
    </row>
    <row r="194" spans="1:3">
      <c r="A194" s="14" t="s">
        <v>888</v>
      </c>
      <c r="B194" s="14">
        <v>15</v>
      </c>
      <c r="C194" s="14" t="s">
        <v>900</v>
      </c>
    </row>
    <row r="195" spans="1:3">
      <c r="A195" s="14" t="s">
        <v>888</v>
      </c>
      <c r="B195" s="14">
        <v>16</v>
      </c>
      <c r="C195" s="14" t="s">
        <v>901</v>
      </c>
    </row>
  </sheetData>
  <sheetProtection selectLockedCells="1" selectUnlockedCells="1"/>
  <autoFilter ref="A1:D161" xr:uid="{00000000-0001-0000-0100-000000000000}"/>
  <phoneticPr fontId="1" type="noConversion"/>
  <conditionalFormatting sqref="A2:H10 A12:H13 A17:H20 A25:H26 A28:H38 A40:A45 C40:H45 A47:H108 A110:H112 C115:H122 A115:A125 B123:H125 A127:H150 A152:H179 A181:H182 A183:A195 C183:H195 B184:B185 B187:B188 B190:B191 B193:B194 A196:H2006">
    <cfRule type="expression" dxfId="94" priority="1">
      <formula>NOT($A2=$A1)</formula>
    </cfRule>
  </conditionalFormatting>
  <conditionalFormatting sqref="A11:H11 A14:H16 A21:H21 A109:H109 A151:H151">
    <cfRule type="expression" dxfId="93" priority="243">
      <formula>NOT($A11=$A9)</formula>
    </cfRule>
  </conditionalFormatting>
  <conditionalFormatting sqref="A22:H22 A113:H113">
    <cfRule type="expression" dxfId="92" priority="737">
      <formula>NOT($A22=$A19)</formula>
    </cfRule>
  </conditionalFormatting>
  <conditionalFormatting sqref="A23:H23">
    <cfRule type="expression" dxfId="91" priority="734">
      <formula>NOT($A23=$A19)</formula>
    </cfRule>
  </conditionalFormatting>
  <conditionalFormatting sqref="A24:H24">
    <cfRule type="expression" dxfId="90" priority="728">
      <formula>NOT($A24=$A18)</formula>
    </cfRule>
  </conditionalFormatting>
  <conditionalFormatting sqref="A27:H27 A39 C39:H39 A46:H46 A126:H126">
    <cfRule type="expression" dxfId="89" priority="334">
      <formula>NOT($A27=#REF!)</formula>
    </cfRule>
  </conditionalFormatting>
  <conditionalFormatting sqref="A114:H114">
    <cfRule type="expression" dxfId="88" priority="738">
      <formula>NOT($A114=#REF!)</formula>
    </cfRule>
  </conditionalFormatting>
  <conditionalFormatting sqref="A180:H180 B183 B186 B189 B192 B195">
    <cfRule type="expression" dxfId="87" priority="767">
      <formula>NOT($A180=#REF!)</formula>
    </cfRule>
  </conditionalFormatting>
  <conditionalFormatting sqref="B38">
    <cfRule type="expression" dxfId="86" priority="339">
      <formula>NOT($A39=#REF!)</formula>
    </cfRule>
  </conditionalFormatting>
  <conditionalFormatting sqref="B39:B44">
    <cfRule type="expression" dxfId="85" priority="336">
      <formula>NOT($A40=$A39)</formula>
    </cfRule>
  </conditionalFormatting>
  <conditionalFormatting sqref="B45">
    <cfRule type="expression" dxfId="84" priority="345">
      <formula>NOT(#REF!=$A45)</formula>
    </cfRule>
  </conditionalFormatting>
  <conditionalFormatting sqref="B116:B122">
    <cfRule type="expression" dxfId="83" priority="351">
      <formula>NOT($A115=$A114)</formula>
    </cfRule>
  </conditionalFormatting>
  <pageMargins left="0.74791666666666667" right="0.74791666666666667" top="0.98402777777777772" bottom="0.98402777777777772" header="0.51180555555555551" footer="0.51180555555555551"/>
  <pageSetup firstPageNumber="0" orientation="portrait" horizontalDpi="300" verticalDpi="300"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B2" sqref="B2"/>
    </sheetView>
  </sheetViews>
  <sheetFormatPr baseColWidth="10" defaultColWidth="8.875" defaultRowHeight="15.75"/>
  <cols>
    <col min="1" max="1" width="34.5" bestFit="1" customWidth="1"/>
    <col min="2" max="2" width="15" bestFit="1" customWidth="1"/>
    <col min="3" max="3" width="13.375" customWidth="1"/>
    <col min="4" max="4" width="27" customWidth="1"/>
    <col min="5" max="5" width="33" bestFit="1" customWidth="1"/>
    <col min="6" max="6" width="15.625" bestFit="1" customWidth="1"/>
  </cols>
  <sheetData>
    <row r="1" spans="1:8" s="3" customFormat="1" ht="18" customHeight="1">
      <c r="A1" s="11" t="s">
        <v>17</v>
      </c>
      <c r="B1" s="11" t="s">
        <v>18</v>
      </c>
      <c r="C1" s="12" t="s">
        <v>21</v>
      </c>
      <c r="D1" s="11" t="s">
        <v>19</v>
      </c>
      <c r="E1" s="11" t="s">
        <v>20</v>
      </c>
      <c r="F1" s="13" t="s">
        <v>25</v>
      </c>
      <c r="H1" s="4"/>
    </row>
    <row r="2" spans="1:8">
      <c r="A2" s="15" t="s">
        <v>431</v>
      </c>
      <c r="B2" s="15" t="s">
        <v>430</v>
      </c>
      <c r="C2" s="15" t="str">
        <f ca="1">TEXT(YEAR(NOW())-2000, "00") &amp; TEXT(MONTH(NOW()), "00") &amp; TEXT(DAY(NOW()), "00") &amp; TEXT(HOUR(NOW()), "00") &amp; TEXT(MINUTE(NOW()), "00")</f>
        <v>2602260928</v>
      </c>
      <c r="D2" s="16"/>
      <c r="E2" s="17"/>
      <c r="F2" s="15" t="s">
        <v>432</v>
      </c>
    </row>
  </sheetData>
  <pageMargins left="0.7" right="0.7" top="0.75" bottom="0.75" header="0.3" footer="0.3"/>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21"/>
  <sheetViews>
    <sheetView workbookViewId="0">
      <selection activeCell="A4" sqref="A4"/>
    </sheetView>
  </sheetViews>
  <sheetFormatPr baseColWidth="10" defaultRowHeight="15.75"/>
  <cols>
    <col min="1" max="2" width="36" customWidth="1"/>
    <col min="3" max="3" width="36" style="18" customWidth="1"/>
    <col min="4" max="28" width="36" customWidth="1"/>
  </cols>
  <sheetData>
    <row r="1" spans="1:28" ht="15" customHeight="1">
      <c r="A1" s="61" t="s">
        <v>48</v>
      </c>
      <c r="B1" s="62"/>
    </row>
    <row r="2" spans="1:28">
      <c r="A2" s="63"/>
      <c r="B2" s="64"/>
    </row>
    <row r="3" spans="1:28" ht="96.95" customHeight="1">
      <c r="A3" s="65" t="s">
        <v>49</v>
      </c>
      <c r="B3" s="66"/>
    </row>
    <row r="5" spans="1:28" s="3" customFormat="1" ht="18" customHeight="1">
      <c r="A5" s="5" t="s">
        <v>1</v>
      </c>
      <c r="B5" s="5" t="s">
        <v>2</v>
      </c>
      <c r="C5" s="7" t="s">
        <v>22</v>
      </c>
      <c r="D5" s="7" t="s">
        <v>50</v>
      </c>
      <c r="E5" s="5" t="s">
        <v>5</v>
      </c>
      <c r="F5" s="5" t="s">
        <v>51</v>
      </c>
      <c r="G5" s="5" t="s">
        <v>3</v>
      </c>
      <c r="H5" s="6" t="s">
        <v>6</v>
      </c>
      <c r="I5" s="5" t="s">
        <v>7</v>
      </c>
      <c r="J5" s="7" t="s">
        <v>35</v>
      </c>
      <c r="K5" s="7" t="s">
        <v>52</v>
      </c>
      <c r="L5" s="5" t="s">
        <v>8</v>
      </c>
      <c r="M5" s="5" t="s">
        <v>14</v>
      </c>
      <c r="N5" s="5" t="s">
        <v>9</v>
      </c>
      <c r="O5" s="5" t="s">
        <v>34</v>
      </c>
      <c r="P5" s="5" t="s">
        <v>53</v>
      </c>
      <c r="Q5" s="5" t="s">
        <v>10</v>
      </c>
      <c r="R5" s="5" t="s">
        <v>13</v>
      </c>
      <c r="S5" s="5" t="s">
        <v>33</v>
      </c>
      <c r="T5" s="5" t="s">
        <v>4</v>
      </c>
      <c r="U5" s="5" t="s">
        <v>11</v>
      </c>
      <c r="V5" s="5" t="s">
        <v>12</v>
      </c>
      <c r="W5" s="5" t="s">
        <v>54</v>
      </c>
      <c r="X5" s="5" t="s">
        <v>55</v>
      </c>
      <c r="Y5" s="5" t="s">
        <v>56</v>
      </c>
      <c r="Z5" s="5" t="s">
        <v>57</v>
      </c>
      <c r="AA5" s="5" t="s">
        <v>36</v>
      </c>
      <c r="AB5" s="5" t="s">
        <v>47</v>
      </c>
    </row>
    <row r="6" spans="1:28" s="20" customFormat="1" ht="189">
      <c r="A6" s="19" t="s">
        <v>58</v>
      </c>
      <c r="B6" s="19" t="s">
        <v>59</v>
      </c>
      <c r="C6" s="19" t="s">
        <v>60</v>
      </c>
      <c r="D6" s="19" t="s">
        <v>61</v>
      </c>
      <c r="E6" s="19" t="s">
        <v>62</v>
      </c>
      <c r="F6" s="19" t="s">
        <v>63</v>
      </c>
      <c r="G6" s="19" t="s">
        <v>64</v>
      </c>
      <c r="H6" s="19" t="s">
        <v>65</v>
      </c>
      <c r="I6" s="19" t="s">
        <v>66</v>
      </c>
      <c r="J6" s="19" t="s">
        <v>67</v>
      </c>
      <c r="K6" s="19" t="s">
        <v>68</v>
      </c>
      <c r="L6" s="19" t="s">
        <v>69</v>
      </c>
      <c r="M6" s="19" t="s">
        <v>70</v>
      </c>
      <c r="N6" s="19" t="s">
        <v>71</v>
      </c>
      <c r="O6" s="19" t="s">
        <v>72</v>
      </c>
      <c r="P6" s="19" t="s">
        <v>73</v>
      </c>
      <c r="Q6" s="19" t="s">
        <v>74</v>
      </c>
      <c r="R6" s="19" t="s">
        <v>75</v>
      </c>
      <c r="S6" s="19" t="s">
        <v>76</v>
      </c>
      <c r="T6" s="19" t="s">
        <v>77</v>
      </c>
      <c r="U6" s="19" t="s">
        <v>78</v>
      </c>
      <c r="V6" s="19" t="s">
        <v>79</v>
      </c>
      <c r="W6" s="19" t="s">
        <v>80</v>
      </c>
      <c r="X6" s="19" t="s">
        <v>81</v>
      </c>
      <c r="Y6" s="19" t="s">
        <v>82</v>
      </c>
      <c r="Z6" s="19" t="s">
        <v>83</v>
      </c>
      <c r="AA6" s="19" t="s">
        <v>84</v>
      </c>
      <c r="AB6" s="19" t="s">
        <v>85</v>
      </c>
    </row>
    <row r="8" spans="1:28" s="23" customFormat="1">
      <c r="A8" s="67" t="s">
        <v>86</v>
      </c>
      <c r="B8" s="67"/>
      <c r="C8" s="21"/>
      <c r="D8" s="22"/>
      <c r="E8" s="22"/>
      <c r="F8" s="22"/>
      <c r="G8" s="22"/>
      <c r="H8" s="22"/>
      <c r="I8" s="22"/>
      <c r="J8" s="22"/>
      <c r="K8" s="22"/>
      <c r="L8" s="22"/>
      <c r="M8" s="22"/>
      <c r="N8" s="22"/>
      <c r="O8" s="22"/>
      <c r="P8" s="22"/>
      <c r="Q8" s="22"/>
      <c r="R8" s="22"/>
      <c r="S8" s="22"/>
      <c r="T8" s="22"/>
      <c r="U8" s="22"/>
      <c r="V8" s="22"/>
      <c r="W8" s="22"/>
      <c r="X8" s="22"/>
      <c r="Y8" s="22"/>
      <c r="Z8" s="22"/>
      <c r="AA8" s="22"/>
      <c r="AB8" s="22"/>
    </row>
    <row r="10" spans="1:28" s="23" customFormat="1">
      <c r="A10" s="24" t="s">
        <v>43</v>
      </c>
      <c r="B10" s="24" t="s">
        <v>87</v>
      </c>
      <c r="C10" s="25" t="s">
        <v>88</v>
      </c>
      <c r="D10" s="24"/>
      <c r="E10" s="24"/>
      <c r="F10" s="24"/>
      <c r="G10" s="24"/>
      <c r="H10" s="24"/>
      <c r="I10" s="24"/>
      <c r="J10" s="24"/>
      <c r="K10" s="24"/>
      <c r="L10" s="24"/>
      <c r="M10" s="24"/>
      <c r="N10" s="24"/>
      <c r="O10" s="24"/>
      <c r="P10" s="24"/>
      <c r="Q10" s="24"/>
      <c r="R10" s="24"/>
      <c r="S10" s="24"/>
      <c r="T10" s="24"/>
      <c r="U10" s="24"/>
      <c r="V10" s="24"/>
      <c r="W10" s="24"/>
      <c r="X10" s="24"/>
      <c r="Y10" s="24"/>
      <c r="Z10" s="24"/>
      <c r="AA10" s="24"/>
      <c r="AB10" s="24"/>
    </row>
    <row r="11" spans="1:28" s="23" customFormat="1">
      <c r="A11" s="24" t="s">
        <v>43</v>
      </c>
      <c r="B11" s="24" t="s">
        <v>87</v>
      </c>
      <c r="C11" s="25" t="s">
        <v>89</v>
      </c>
      <c r="D11" s="24"/>
      <c r="E11" s="24"/>
      <c r="F11" s="24"/>
      <c r="G11" s="24"/>
      <c r="H11" s="24" t="s">
        <v>90</v>
      </c>
      <c r="I11" s="24"/>
      <c r="J11" s="24"/>
      <c r="K11" s="24"/>
      <c r="L11" s="24"/>
      <c r="M11" s="24"/>
      <c r="N11" s="24"/>
      <c r="O11" s="24"/>
      <c r="P11" s="24"/>
      <c r="Q11" s="24"/>
      <c r="R11" s="24"/>
      <c r="S11" s="24"/>
      <c r="T11" s="24"/>
      <c r="U11" s="24"/>
      <c r="V11" s="24"/>
      <c r="W11" s="24"/>
      <c r="X11" s="24"/>
      <c r="Y11" s="24"/>
      <c r="Z11" s="24"/>
      <c r="AA11" s="24"/>
      <c r="AB11" s="24"/>
    </row>
    <row r="12" spans="1:28" s="23" customFormat="1">
      <c r="A12" s="24" t="s">
        <v>45</v>
      </c>
      <c r="B12" s="24" t="s">
        <v>87</v>
      </c>
      <c r="C12" s="25" t="s">
        <v>91</v>
      </c>
      <c r="D12" s="24"/>
      <c r="E12" s="24"/>
      <c r="F12" s="24"/>
      <c r="G12" s="24"/>
      <c r="H12" s="24"/>
      <c r="I12" s="24"/>
      <c r="J12" s="24"/>
      <c r="K12" s="24"/>
      <c r="L12" s="24"/>
      <c r="M12" s="24"/>
      <c r="N12" s="24"/>
      <c r="O12" s="24"/>
      <c r="P12" s="24"/>
      <c r="Q12" s="24"/>
      <c r="R12" s="24"/>
      <c r="S12" s="24"/>
      <c r="T12" s="24"/>
      <c r="U12" s="24"/>
      <c r="V12" s="24"/>
      <c r="W12" s="24"/>
      <c r="X12" s="24"/>
      <c r="Y12" s="24"/>
      <c r="Z12" s="24"/>
      <c r="AA12" s="24"/>
      <c r="AB12" s="24"/>
    </row>
    <row r="13" spans="1:28" s="23" customFormat="1">
      <c r="A13" s="24" t="s">
        <v>92</v>
      </c>
      <c r="B13" s="24" t="s">
        <v>87</v>
      </c>
      <c r="C13" s="25" t="s">
        <v>93</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row>
    <row r="14" spans="1:28" s="23" customFormat="1" ht="47.25">
      <c r="A14" s="24" t="s">
        <v>94</v>
      </c>
      <c r="B14" s="24" t="s">
        <v>87</v>
      </c>
      <c r="C14" s="25" t="s">
        <v>95</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row>
    <row r="15" spans="1:28" s="23" customFormat="1" ht="47.25">
      <c r="A15" s="24" t="s">
        <v>94</v>
      </c>
      <c r="B15" s="24" t="s">
        <v>87</v>
      </c>
      <c r="C15" s="25" t="s">
        <v>96</v>
      </c>
      <c r="D15" s="24"/>
      <c r="E15" s="24"/>
      <c r="F15" s="24"/>
      <c r="G15" s="24"/>
      <c r="H15" s="24" t="s">
        <v>97</v>
      </c>
      <c r="I15" s="24"/>
      <c r="J15" s="24"/>
      <c r="K15" s="24"/>
      <c r="L15" s="24"/>
      <c r="M15" s="24"/>
      <c r="N15" s="24"/>
      <c r="O15" s="24"/>
      <c r="P15" s="24"/>
      <c r="Q15" s="24"/>
      <c r="R15" s="24"/>
      <c r="S15" s="24"/>
      <c r="T15" s="24"/>
      <c r="U15" s="24"/>
      <c r="V15" s="24"/>
      <c r="W15" s="24"/>
      <c r="X15" s="24"/>
      <c r="Y15" s="24"/>
      <c r="Z15" s="24"/>
      <c r="AA15" s="24"/>
      <c r="AB15" s="24"/>
    </row>
    <row r="16" spans="1:28" s="23" customFormat="1" ht="47.25">
      <c r="A16" s="24" t="s">
        <v>94</v>
      </c>
      <c r="B16" s="24" t="s">
        <v>87</v>
      </c>
      <c r="C16" s="25" t="s">
        <v>98</v>
      </c>
      <c r="D16" s="24"/>
      <c r="E16" s="24"/>
      <c r="F16" s="24"/>
      <c r="G16" s="24"/>
      <c r="H16" s="24" t="s">
        <v>99</v>
      </c>
      <c r="I16" s="24"/>
      <c r="J16" s="24"/>
      <c r="K16" s="24"/>
      <c r="L16" s="24"/>
      <c r="M16" s="24"/>
      <c r="N16" s="24"/>
      <c r="O16" s="24"/>
      <c r="P16" s="24"/>
      <c r="Q16" s="24"/>
      <c r="R16" s="24"/>
      <c r="S16" s="24"/>
      <c r="T16" s="24"/>
      <c r="U16" s="24"/>
      <c r="V16" s="24"/>
      <c r="W16" s="24"/>
      <c r="X16" s="24"/>
      <c r="Y16" s="24"/>
      <c r="Z16" s="24"/>
      <c r="AA16" s="24"/>
      <c r="AB16" s="24"/>
    </row>
    <row r="17" spans="1:28" s="23" customFormat="1" ht="47.25">
      <c r="A17" s="24" t="s">
        <v>94</v>
      </c>
      <c r="B17" s="24" t="s">
        <v>87</v>
      </c>
      <c r="C17" s="25" t="s">
        <v>100</v>
      </c>
      <c r="D17" s="24"/>
      <c r="E17" s="24"/>
      <c r="F17" s="24"/>
      <c r="G17" s="24"/>
      <c r="H17" s="24" t="s">
        <v>101</v>
      </c>
      <c r="I17" s="24"/>
      <c r="J17" s="24"/>
      <c r="K17" s="24"/>
      <c r="L17" s="24"/>
      <c r="M17" s="24"/>
      <c r="N17" s="24"/>
      <c r="O17" s="24"/>
      <c r="P17" s="24"/>
      <c r="Q17" s="24"/>
      <c r="R17" s="24"/>
      <c r="S17" s="24"/>
      <c r="T17" s="24"/>
      <c r="U17" s="24"/>
      <c r="V17" s="24"/>
      <c r="W17" s="24"/>
      <c r="X17" s="24"/>
      <c r="Y17" s="24"/>
      <c r="Z17" s="24"/>
      <c r="AA17" s="24"/>
      <c r="AB17" s="24"/>
    </row>
    <row r="18" spans="1:28" s="23" customFormat="1" ht="47.25">
      <c r="A18" s="24" t="s">
        <v>94</v>
      </c>
      <c r="B18" s="24" t="s">
        <v>87</v>
      </c>
      <c r="C18" s="25" t="s">
        <v>102</v>
      </c>
      <c r="D18" s="24"/>
      <c r="E18" s="24"/>
      <c r="F18" s="24"/>
      <c r="G18" s="24"/>
      <c r="H18" s="24" t="s">
        <v>103</v>
      </c>
      <c r="I18" s="24"/>
      <c r="J18" s="24"/>
      <c r="K18" s="24"/>
      <c r="L18" s="24"/>
      <c r="M18" s="24"/>
      <c r="N18" s="24"/>
      <c r="O18" s="24"/>
      <c r="P18" s="24"/>
      <c r="Q18" s="24"/>
      <c r="R18" s="24"/>
      <c r="S18" s="24"/>
      <c r="T18" s="24"/>
      <c r="U18" s="24"/>
      <c r="V18" s="24"/>
      <c r="W18" s="24"/>
      <c r="X18" s="24"/>
      <c r="Y18" s="24"/>
      <c r="Z18" s="24"/>
      <c r="AA18" s="24"/>
      <c r="AB18" s="24"/>
    </row>
    <row r="19" spans="1:28" s="23" customFormat="1" ht="63">
      <c r="A19" s="24" t="s">
        <v>94</v>
      </c>
      <c r="B19" s="24" t="s">
        <v>87</v>
      </c>
      <c r="C19" s="25" t="s">
        <v>104</v>
      </c>
      <c r="D19" s="24"/>
      <c r="E19" s="24"/>
      <c r="F19" s="24"/>
      <c r="G19" s="24"/>
      <c r="H19" s="24" t="s">
        <v>105</v>
      </c>
      <c r="I19" s="24"/>
      <c r="J19" s="24"/>
      <c r="K19" s="24"/>
      <c r="L19" s="24"/>
      <c r="M19" s="24"/>
      <c r="N19" s="24"/>
      <c r="O19" s="24"/>
      <c r="P19" s="24"/>
      <c r="Q19" s="24"/>
      <c r="R19" s="24"/>
      <c r="S19" s="24"/>
      <c r="T19" s="24"/>
      <c r="U19" s="24"/>
      <c r="V19" s="24"/>
      <c r="W19" s="24"/>
      <c r="X19" s="24"/>
      <c r="Y19" s="24"/>
      <c r="Z19" s="24"/>
      <c r="AA19" s="24"/>
      <c r="AB19" s="24"/>
    </row>
    <row r="20" spans="1:28" s="23" customFormat="1" ht="78.75">
      <c r="A20" s="24" t="s">
        <v>94</v>
      </c>
      <c r="B20" s="24" t="s">
        <v>87</v>
      </c>
      <c r="C20" s="25" t="s">
        <v>106</v>
      </c>
      <c r="D20" s="24"/>
      <c r="E20" s="24"/>
      <c r="F20" s="24"/>
      <c r="G20" s="24"/>
      <c r="H20" s="24" t="s">
        <v>107</v>
      </c>
      <c r="I20" s="24"/>
      <c r="J20" s="24"/>
      <c r="K20" s="24"/>
      <c r="L20" s="24"/>
      <c r="M20" s="24"/>
      <c r="N20" s="24"/>
      <c r="O20" s="24"/>
      <c r="P20" s="24"/>
      <c r="Q20" s="24"/>
      <c r="R20" s="24"/>
      <c r="S20" s="24"/>
      <c r="T20" s="24"/>
      <c r="U20" s="24"/>
      <c r="V20" s="24"/>
      <c r="W20" s="24"/>
      <c r="X20" s="24"/>
      <c r="Y20" s="24"/>
      <c r="Z20" s="24"/>
      <c r="AA20" s="24"/>
      <c r="AB20" s="24"/>
    </row>
    <row r="21" spans="1:28" s="23" customFormat="1" ht="63">
      <c r="A21" s="24" t="s">
        <v>94</v>
      </c>
      <c r="B21" s="24" t="s">
        <v>87</v>
      </c>
      <c r="C21" s="25" t="s">
        <v>108</v>
      </c>
      <c r="D21" s="24"/>
      <c r="E21" s="24"/>
      <c r="F21" s="24"/>
      <c r="G21" s="24"/>
      <c r="H21" s="24" t="s">
        <v>109</v>
      </c>
      <c r="I21" s="24"/>
      <c r="J21" s="24"/>
      <c r="K21" s="24"/>
      <c r="L21" s="24"/>
      <c r="M21" s="24"/>
      <c r="N21" s="24"/>
      <c r="O21" s="24"/>
      <c r="P21" s="24"/>
      <c r="Q21" s="24"/>
      <c r="R21" s="24"/>
      <c r="S21" s="24"/>
      <c r="T21" s="24"/>
      <c r="U21" s="24"/>
      <c r="V21" s="24"/>
      <c r="W21" s="24"/>
      <c r="X21" s="24"/>
      <c r="Y21" s="24"/>
      <c r="Z21" s="24"/>
      <c r="AA21" s="24"/>
      <c r="AB21" s="24"/>
    </row>
    <row r="22" spans="1:28" s="23" customFormat="1" ht="63">
      <c r="A22" s="24" t="s">
        <v>94</v>
      </c>
      <c r="B22" s="24" t="s">
        <v>87</v>
      </c>
      <c r="C22" s="25" t="s">
        <v>110</v>
      </c>
      <c r="D22" s="24"/>
      <c r="E22" s="24"/>
      <c r="F22" s="24"/>
      <c r="G22" s="24"/>
      <c r="H22" s="24" t="s">
        <v>111</v>
      </c>
      <c r="I22" s="24"/>
      <c r="J22" s="24"/>
      <c r="K22" s="24"/>
      <c r="L22" s="24"/>
      <c r="M22" s="24"/>
      <c r="N22" s="24"/>
      <c r="O22" s="24"/>
      <c r="P22" s="24"/>
      <c r="Q22" s="24"/>
      <c r="R22" s="24"/>
      <c r="S22" s="24"/>
      <c r="T22" s="24"/>
      <c r="U22" s="24"/>
      <c r="V22" s="24"/>
      <c r="W22" s="24"/>
      <c r="X22" s="24"/>
      <c r="Y22" s="24"/>
      <c r="Z22" s="24"/>
      <c r="AA22" s="24"/>
      <c r="AB22" s="24"/>
    </row>
    <row r="23" spans="1:28" s="23" customFormat="1" ht="63">
      <c r="A23" s="24" t="s">
        <v>94</v>
      </c>
      <c r="B23" s="24" t="s">
        <v>87</v>
      </c>
      <c r="C23" s="26" t="s">
        <v>112</v>
      </c>
      <c r="D23" s="24"/>
      <c r="E23" s="24"/>
      <c r="F23" s="24"/>
      <c r="G23" s="24"/>
      <c r="H23" s="24" t="s">
        <v>113</v>
      </c>
      <c r="I23" s="24"/>
      <c r="J23" s="24"/>
      <c r="K23" s="24"/>
      <c r="L23" s="24"/>
      <c r="M23" s="24"/>
      <c r="N23" s="24"/>
      <c r="O23" s="24"/>
      <c r="P23" s="24"/>
      <c r="Q23" s="24"/>
      <c r="R23" s="24"/>
      <c r="S23" s="24"/>
      <c r="T23" s="24"/>
      <c r="U23" s="24"/>
      <c r="V23" s="24"/>
      <c r="W23" s="24"/>
      <c r="X23" s="24"/>
      <c r="Y23" s="24"/>
      <c r="Z23" s="24"/>
      <c r="AA23" s="24"/>
      <c r="AB23" s="24"/>
    </row>
    <row r="24" spans="1:28" s="23" customFormat="1" ht="63">
      <c r="A24" s="24" t="s">
        <v>94</v>
      </c>
      <c r="B24" s="24" t="s">
        <v>87</v>
      </c>
      <c r="C24" s="25" t="s">
        <v>114</v>
      </c>
      <c r="D24" s="24"/>
      <c r="E24" s="24"/>
      <c r="F24" s="24"/>
      <c r="G24" s="24"/>
      <c r="H24" s="24" t="s">
        <v>115</v>
      </c>
      <c r="I24" s="24"/>
      <c r="J24" s="24"/>
      <c r="K24" s="24"/>
      <c r="L24" s="24"/>
      <c r="M24" s="24"/>
      <c r="N24" s="24"/>
      <c r="O24" s="24"/>
      <c r="P24" s="24"/>
      <c r="Q24" s="24"/>
      <c r="R24" s="24"/>
      <c r="S24" s="24"/>
      <c r="T24" s="24"/>
      <c r="U24" s="24"/>
      <c r="V24" s="24"/>
      <c r="W24" s="24"/>
      <c r="X24" s="24"/>
      <c r="Y24" s="24"/>
      <c r="Z24" s="24"/>
      <c r="AA24" s="24"/>
      <c r="AB24" s="24"/>
    </row>
    <row r="25" spans="1:28" s="23" customFormat="1" ht="78.75">
      <c r="A25" s="24" t="s">
        <v>94</v>
      </c>
      <c r="B25" s="24" t="s">
        <v>87</v>
      </c>
      <c r="C25" s="25" t="s">
        <v>116</v>
      </c>
      <c r="D25" s="24"/>
      <c r="E25" s="24"/>
      <c r="F25" s="24"/>
      <c r="G25" s="24"/>
      <c r="H25" s="24" t="s">
        <v>117</v>
      </c>
      <c r="I25" s="24"/>
      <c r="J25" s="24"/>
      <c r="K25" s="24"/>
      <c r="L25" s="24"/>
      <c r="M25" s="24"/>
      <c r="N25" s="24"/>
      <c r="O25" s="24"/>
      <c r="P25" s="24"/>
      <c r="Q25" s="24"/>
      <c r="R25" s="24"/>
      <c r="S25" s="24"/>
      <c r="T25" s="24"/>
      <c r="U25" s="24"/>
      <c r="V25" s="24"/>
      <c r="W25" s="24"/>
      <c r="X25" s="24"/>
      <c r="Y25" s="24"/>
      <c r="Z25" s="24"/>
      <c r="AA25" s="24"/>
      <c r="AB25" s="24"/>
    </row>
    <row r="26" spans="1:28" s="23" customFormat="1" ht="47.25">
      <c r="A26" s="24" t="s">
        <v>118</v>
      </c>
      <c r="B26" s="24" t="s">
        <v>87</v>
      </c>
      <c r="C26" s="25" t="s">
        <v>119</v>
      </c>
      <c r="D26" s="24"/>
      <c r="E26" s="24"/>
      <c r="F26" s="24"/>
      <c r="G26" s="24"/>
      <c r="H26" s="24"/>
      <c r="I26" s="24"/>
      <c r="J26" s="24"/>
      <c r="K26" s="24"/>
      <c r="L26" s="24"/>
      <c r="M26" s="24"/>
      <c r="N26" s="24"/>
      <c r="O26" s="24"/>
      <c r="P26" s="24"/>
      <c r="Q26" s="24"/>
      <c r="R26" s="24"/>
      <c r="S26" s="24"/>
      <c r="T26" s="24"/>
      <c r="U26" s="24"/>
      <c r="V26" s="24"/>
      <c r="W26" s="24"/>
      <c r="X26" s="24"/>
      <c r="Y26" s="24"/>
      <c r="Z26" s="24"/>
      <c r="AA26" s="24"/>
      <c r="AB26" s="24"/>
    </row>
    <row r="27" spans="1:28" s="23" customFormat="1" ht="31.5">
      <c r="A27" s="24" t="s">
        <v>118</v>
      </c>
      <c r="B27" s="24" t="s">
        <v>87</v>
      </c>
      <c r="C27" s="25" t="s">
        <v>120</v>
      </c>
      <c r="D27" s="24"/>
      <c r="E27" s="24"/>
      <c r="F27" s="24"/>
      <c r="G27" s="24"/>
      <c r="H27" s="24" t="s">
        <v>99</v>
      </c>
      <c r="I27" s="24"/>
      <c r="J27" s="24"/>
      <c r="K27" s="24"/>
      <c r="L27" s="24"/>
      <c r="M27" s="24"/>
      <c r="N27" s="24"/>
      <c r="O27" s="24"/>
      <c r="P27" s="24"/>
      <c r="Q27" s="24"/>
      <c r="R27" s="24"/>
      <c r="S27" s="24"/>
      <c r="T27" s="24"/>
      <c r="U27" s="24"/>
      <c r="V27" s="24"/>
      <c r="W27" s="24"/>
      <c r="X27" s="24"/>
      <c r="Y27" s="24"/>
      <c r="Z27" s="24"/>
      <c r="AA27" s="24"/>
      <c r="AB27" s="24"/>
    </row>
    <row r="28" spans="1:28" s="23" customFormat="1" ht="47.25">
      <c r="A28" s="24" t="s">
        <v>118</v>
      </c>
      <c r="B28" s="24" t="s">
        <v>87</v>
      </c>
      <c r="C28" s="25" t="s">
        <v>121</v>
      </c>
      <c r="D28" s="24"/>
      <c r="E28" s="24"/>
      <c r="F28" s="24"/>
      <c r="G28" s="24"/>
      <c r="H28" s="24" t="s">
        <v>101</v>
      </c>
      <c r="I28" s="24"/>
      <c r="J28" s="24"/>
      <c r="K28" s="24"/>
      <c r="L28" s="24"/>
      <c r="M28" s="24"/>
      <c r="N28" s="24"/>
      <c r="O28" s="24"/>
      <c r="P28" s="24"/>
      <c r="Q28" s="24"/>
      <c r="R28" s="24"/>
      <c r="S28" s="24"/>
      <c r="T28" s="24"/>
      <c r="U28" s="24"/>
      <c r="V28" s="24"/>
      <c r="W28" s="24"/>
      <c r="X28" s="24"/>
      <c r="Y28" s="24"/>
      <c r="Z28" s="24"/>
      <c r="AA28" s="24"/>
      <c r="AB28" s="24"/>
    </row>
    <row r="29" spans="1:28" s="23" customFormat="1" ht="47.25">
      <c r="A29" s="24" t="s">
        <v>118</v>
      </c>
      <c r="B29" s="24" t="s">
        <v>87</v>
      </c>
      <c r="C29" s="25" t="s">
        <v>122</v>
      </c>
      <c r="D29" s="24"/>
      <c r="E29" s="24"/>
      <c r="F29" s="24"/>
      <c r="G29" s="24"/>
      <c r="H29" s="24" t="s">
        <v>103</v>
      </c>
      <c r="I29" s="24"/>
      <c r="J29" s="24"/>
      <c r="K29" s="24"/>
      <c r="L29" s="24"/>
      <c r="M29" s="24"/>
      <c r="N29" s="24"/>
      <c r="O29" s="24"/>
      <c r="P29" s="24"/>
      <c r="Q29" s="24"/>
      <c r="R29" s="24"/>
      <c r="S29" s="24"/>
      <c r="T29" s="24"/>
      <c r="U29" s="24"/>
      <c r="V29" s="24"/>
      <c r="W29" s="24"/>
      <c r="X29" s="24"/>
      <c r="Y29" s="24"/>
      <c r="Z29" s="24"/>
      <c r="AA29" s="24"/>
      <c r="AB29" s="24"/>
    </row>
    <row r="30" spans="1:28" s="23" customFormat="1" ht="63">
      <c r="A30" s="24" t="s">
        <v>118</v>
      </c>
      <c r="B30" s="24" t="s">
        <v>87</v>
      </c>
      <c r="C30" s="25" t="s">
        <v>123</v>
      </c>
      <c r="D30" s="24"/>
      <c r="E30" s="24"/>
      <c r="F30" s="24"/>
      <c r="G30" s="24"/>
      <c r="H30" s="24" t="s">
        <v>109</v>
      </c>
      <c r="I30" s="24"/>
      <c r="J30" s="24"/>
      <c r="K30" s="24"/>
      <c r="L30" s="24"/>
      <c r="M30" s="24"/>
      <c r="N30" s="24"/>
      <c r="O30" s="24"/>
      <c r="P30" s="24"/>
      <c r="Q30" s="24"/>
      <c r="R30" s="24"/>
      <c r="S30" s="24"/>
      <c r="T30" s="24"/>
      <c r="U30" s="24"/>
      <c r="V30" s="24"/>
      <c r="W30" s="24"/>
      <c r="X30" s="24"/>
      <c r="Y30" s="24"/>
      <c r="Z30" s="24"/>
      <c r="AA30" s="24"/>
      <c r="AB30" s="24"/>
    </row>
    <row r="31" spans="1:28" s="23" customFormat="1" ht="63">
      <c r="A31" s="24" t="s">
        <v>118</v>
      </c>
      <c r="B31" s="24" t="s">
        <v>87</v>
      </c>
      <c r="C31" s="25" t="s">
        <v>124</v>
      </c>
      <c r="D31" s="24"/>
      <c r="E31" s="24"/>
      <c r="F31" s="24"/>
      <c r="G31" s="24"/>
      <c r="H31" s="24" t="s">
        <v>111</v>
      </c>
      <c r="I31" s="24"/>
      <c r="J31" s="24"/>
      <c r="K31" s="24"/>
      <c r="L31" s="24"/>
      <c r="M31" s="24"/>
      <c r="N31" s="24"/>
      <c r="O31" s="24"/>
      <c r="P31" s="24"/>
      <c r="Q31" s="24"/>
      <c r="R31" s="24"/>
      <c r="S31" s="24"/>
      <c r="T31" s="24"/>
      <c r="U31" s="24"/>
      <c r="V31" s="24"/>
      <c r="W31" s="24"/>
      <c r="X31" s="24"/>
      <c r="Y31" s="24"/>
      <c r="Z31" s="24"/>
      <c r="AA31" s="24"/>
      <c r="AB31" s="24"/>
    </row>
    <row r="32" spans="1:28" s="23" customFormat="1" ht="63">
      <c r="A32" s="24" t="s">
        <v>118</v>
      </c>
      <c r="B32" s="24" t="s">
        <v>87</v>
      </c>
      <c r="C32" s="26" t="s">
        <v>125</v>
      </c>
      <c r="D32" s="24"/>
      <c r="E32" s="24"/>
      <c r="F32" s="24"/>
      <c r="G32" s="24"/>
      <c r="H32" s="24" t="s">
        <v>113</v>
      </c>
      <c r="I32" s="24"/>
      <c r="J32" s="24"/>
      <c r="K32" s="24"/>
      <c r="L32" s="24"/>
      <c r="M32" s="24"/>
      <c r="N32" s="24"/>
      <c r="O32" s="24"/>
      <c r="P32" s="24"/>
      <c r="Q32" s="24"/>
      <c r="R32" s="24"/>
      <c r="S32" s="24"/>
      <c r="T32" s="24"/>
      <c r="U32" s="24"/>
      <c r="V32" s="24"/>
      <c r="W32" s="24"/>
      <c r="X32" s="24"/>
      <c r="Y32" s="24"/>
      <c r="Z32" s="24"/>
      <c r="AA32" s="24"/>
      <c r="AB32" s="24"/>
    </row>
    <row r="33" spans="1:28" s="23" customFormat="1" ht="63">
      <c r="A33" s="24" t="s">
        <v>118</v>
      </c>
      <c r="B33" s="24" t="s">
        <v>87</v>
      </c>
      <c r="C33" s="25" t="s">
        <v>126</v>
      </c>
      <c r="D33" s="24"/>
      <c r="E33" s="24"/>
      <c r="F33" s="24"/>
      <c r="G33" s="24"/>
      <c r="H33" s="24" t="s">
        <v>115</v>
      </c>
      <c r="I33" s="24"/>
      <c r="J33" s="24"/>
      <c r="K33" s="24"/>
      <c r="L33" s="24"/>
      <c r="M33" s="24"/>
      <c r="N33" s="24"/>
      <c r="O33" s="24"/>
      <c r="P33" s="24"/>
      <c r="Q33" s="24"/>
      <c r="R33" s="24"/>
      <c r="S33" s="24"/>
      <c r="T33" s="24"/>
      <c r="U33" s="24"/>
      <c r="V33" s="24"/>
      <c r="W33" s="24"/>
      <c r="X33" s="24"/>
      <c r="Y33" s="24"/>
      <c r="Z33" s="24"/>
      <c r="AA33" s="24"/>
      <c r="AB33" s="24"/>
    </row>
    <row r="34" spans="1:28" s="23" customFormat="1" ht="78.75">
      <c r="A34" s="24" t="s">
        <v>118</v>
      </c>
      <c r="B34" s="24" t="s">
        <v>87</v>
      </c>
      <c r="C34" s="25" t="s">
        <v>127</v>
      </c>
      <c r="D34" s="24"/>
      <c r="E34" s="24"/>
      <c r="F34" s="24"/>
      <c r="G34" s="24"/>
      <c r="H34" s="24" t="s">
        <v>117</v>
      </c>
      <c r="I34" s="24"/>
      <c r="J34" s="24"/>
      <c r="K34" s="24"/>
      <c r="L34" s="24"/>
      <c r="M34" s="24"/>
      <c r="N34" s="24"/>
      <c r="O34" s="24"/>
      <c r="P34" s="24"/>
      <c r="Q34" s="24"/>
      <c r="R34" s="24"/>
      <c r="S34" s="24"/>
      <c r="T34" s="24"/>
      <c r="U34" s="24"/>
      <c r="V34" s="24"/>
      <c r="W34" s="24"/>
      <c r="X34" s="24"/>
      <c r="Y34" s="24"/>
      <c r="Z34" s="24"/>
      <c r="AA34" s="24"/>
      <c r="AB34" s="24"/>
    </row>
    <row r="35" spans="1:28" s="23" customFormat="1">
      <c r="A35" s="24" t="s">
        <v>128</v>
      </c>
      <c r="B35" s="24" t="s">
        <v>87</v>
      </c>
      <c r="C35" s="25" t="s">
        <v>129</v>
      </c>
      <c r="D35" s="24"/>
      <c r="E35" s="24"/>
      <c r="F35" s="24"/>
      <c r="G35" s="24"/>
      <c r="H35" s="24"/>
      <c r="I35" s="24"/>
      <c r="J35" s="24"/>
      <c r="K35" s="24"/>
      <c r="L35" s="24"/>
      <c r="M35" s="24"/>
      <c r="N35" s="24"/>
      <c r="O35" s="24"/>
      <c r="P35" s="24"/>
      <c r="Q35" s="24"/>
      <c r="R35" s="24"/>
      <c r="S35" s="24"/>
      <c r="T35" s="24"/>
      <c r="U35" s="24"/>
      <c r="V35" s="24"/>
      <c r="W35" s="24"/>
      <c r="X35" s="24"/>
      <c r="Y35" s="24"/>
      <c r="Z35" s="24"/>
      <c r="AA35" s="24"/>
      <c r="AB35" s="24"/>
    </row>
    <row r="36" spans="1:28" s="23" customFormat="1">
      <c r="A36" s="24" t="s">
        <v>130</v>
      </c>
      <c r="B36" s="24" t="s">
        <v>87</v>
      </c>
      <c r="C36" s="25" t="s">
        <v>131</v>
      </c>
      <c r="D36" s="24"/>
      <c r="E36" s="24"/>
      <c r="F36" s="24"/>
      <c r="G36" s="24"/>
      <c r="H36" s="24"/>
      <c r="I36" s="24"/>
      <c r="J36" s="24"/>
      <c r="K36" s="24"/>
      <c r="L36" s="24"/>
      <c r="M36" s="24"/>
      <c r="N36" s="24"/>
      <c r="O36" s="24"/>
      <c r="P36" s="24"/>
      <c r="Q36" s="24"/>
      <c r="R36" s="24"/>
      <c r="S36" s="24"/>
      <c r="T36" s="24"/>
      <c r="U36" s="24"/>
      <c r="V36" s="24"/>
      <c r="W36" s="24"/>
      <c r="X36" s="24"/>
      <c r="Y36" s="24"/>
      <c r="Z36" s="24"/>
      <c r="AA36" s="24"/>
      <c r="AB36" s="24"/>
    </row>
    <row r="37" spans="1:28" s="23" customFormat="1">
      <c r="A37" s="24" t="s">
        <v>132</v>
      </c>
      <c r="B37" s="24" t="s">
        <v>87</v>
      </c>
      <c r="C37" s="25" t="s">
        <v>133</v>
      </c>
      <c r="D37" s="24"/>
      <c r="E37" s="24"/>
      <c r="F37" s="24"/>
      <c r="G37" s="24"/>
      <c r="H37" s="24"/>
      <c r="I37" s="24"/>
      <c r="J37" s="24"/>
      <c r="K37" s="24"/>
      <c r="L37" s="24"/>
      <c r="M37" s="24"/>
      <c r="N37" s="24"/>
      <c r="O37" s="24"/>
      <c r="P37" s="24"/>
      <c r="Q37" s="24"/>
      <c r="R37" s="24"/>
      <c r="S37" s="24"/>
      <c r="T37" s="24"/>
      <c r="U37" s="24"/>
      <c r="V37" s="24"/>
      <c r="W37" s="24"/>
      <c r="X37" s="24"/>
      <c r="Y37" s="24"/>
      <c r="Z37" s="24"/>
      <c r="AA37" s="24"/>
      <c r="AB37" s="24"/>
    </row>
    <row r="38" spans="1:28" s="23" customFormat="1">
      <c r="A38" s="24" t="s">
        <v>132</v>
      </c>
      <c r="B38" s="24" t="s">
        <v>87</v>
      </c>
      <c r="C38" s="25" t="s">
        <v>134</v>
      </c>
      <c r="D38" s="24"/>
      <c r="E38" s="24"/>
      <c r="F38" s="24"/>
      <c r="G38" s="24"/>
      <c r="H38" s="24" t="s">
        <v>135</v>
      </c>
      <c r="I38" s="24"/>
      <c r="J38" s="24"/>
      <c r="K38" s="24"/>
      <c r="L38" s="24"/>
      <c r="M38" s="24"/>
      <c r="N38" s="24"/>
      <c r="O38" s="24"/>
      <c r="P38" s="24"/>
      <c r="Q38" s="24"/>
      <c r="R38" s="24"/>
      <c r="S38" s="24"/>
      <c r="T38" s="24"/>
      <c r="U38" s="24"/>
      <c r="V38" s="24"/>
      <c r="W38" s="24"/>
      <c r="X38" s="24"/>
      <c r="Y38" s="24"/>
      <c r="Z38" s="24"/>
      <c r="AA38" s="24"/>
      <c r="AB38" s="24"/>
    </row>
    <row r="39" spans="1:28" s="23" customFormat="1">
      <c r="A39" s="24" t="s">
        <v>136</v>
      </c>
      <c r="B39" s="24" t="s">
        <v>87</v>
      </c>
      <c r="C39" s="25" t="s">
        <v>137</v>
      </c>
      <c r="D39" s="24"/>
      <c r="E39" s="24"/>
      <c r="F39" s="24"/>
      <c r="G39" s="24"/>
      <c r="H39" s="24"/>
      <c r="I39" s="24"/>
      <c r="J39" s="24"/>
      <c r="K39" s="24"/>
      <c r="L39" s="24"/>
      <c r="M39" s="24"/>
      <c r="N39" s="24"/>
      <c r="O39" s="24"/>
      <c r="P39" s="24"/>
      <c r="Q39" s="24"/>
      <c r="R39" s="24"/>
      <c r="S39" s="24"/>
      <c r="T39" s="24"/>
      <c r="U39" s="24"/>
      <c r="V39" s="24"/>
      <c r="W39" s="24"/>
      <c r="X39" s="24"/>
      <c r="Y39" s="24"/>
      <c r="Z39" s="24"/>
      <c r="AA39" s="24"/>
      <c r="AB39" s="24"/>
    </row>
    <row r="40" spans="1:28" s="23" customFormat="1">
      <c r="A40" s="24" t="s">
        <v>136</v>
      </c>
      <c r="B40" s="24" t="s">
        <v>87</v>
      </c>
      <c r="C40" s="25" t="s">
        <v>138</v>
      </c>
      <c r="D40" s="24"/>
      <c r="E40" s="24"/>
      <c r="F40" s="24"/>
      <c r="G40" s="24"/>
      <c r="H40" s="24" t="s">
        <v>135</v>
      </c>
      <c r="I40" s="24"/>
      <c r="J40" s="24"/>
      <c r="K40" s="24"/>
      <c r="L40" s="24"/>
      <c r="M40" s="24"/>
      <c r="N40" s="24"/>
      <c r="O40" s="24"/>
      <c r="P40" s="24"/>
      <c r="Q40" s="24"/>
      <c r="R40" s="24"/>
      <c r="S40" s="24"/>
      <c r="T40" s="24"/>
      <c r="U40" s="24"/>
      <c r="V40" s="24"/>
      <c r="W40" s="24"/>
      <c r="X40" s="24"/>
      <c r="Y40" s="24"/>
      <c r="Z40" s="24"/>
      <c r="AA40" s="24"/>
      <c r="AB40" s="24"/>
    </row>
    <row r="41" spans="1:28" s="23" customFormat="1">
      <c r="A41" s="24" t="s">
        <v>24</v>
      </c>
      <c r="B41" s="24" t="s">
        <v>87</v>
      </c>
      <c r="C41" s="25" t="s">
        <v>139</v>
      </c>
      <c r="D41" s="24"/>
      <c r="E41" s="24"/>
      <c r="F41" s="24"/>
      <c r="G41" s="24"/>
      <c r="H41" s="24"/>
      <c r="I41" s="24"/>
      <c r="J41" s="24"/>
      <c r="K41" s="24"/>
      <c r="L41" s="24"/>
      <c r="M41" s="24"/>
      <c r="N41" s="24"/>
      <c r="O41" s="24"/>
      <c r="P41" s="24"/>
      <c r="Q41" s="24"/>
      <c r="R41" s="24"/>
      <c r="S41" s="24"/>
      <c r="T41" s="24"/>
      <c r="U41" s="24"/>
      <c r="V41" s="24"/>
      <c r="W41" s="24"/>
      <c r="X41" s="24"/>
      <c r="Y41" s="24"/>
      <c r="Z41" s="24"/>
      <c r="AA41" s="24"/>
      <c r="AB41" s="24"/>
    </row>
    <row r="42" spans="1:28" s="23" customFormat="1" ht="31.5">
      <c r="A42" s="24" t="s">
        <v>24</v>
      </c>
      <c r="B42" s="24" t="s">
        <v>87</v>
      </c>
      <c r="C42" s="25" t="s">
        <v>140</v>
      </c>
      <c r="D42" s="24"/>
      <c r="E42" s="24"/>
      <c r="F42" s="24"/>
      <c r="G42" s="24"/>
      <c r="H42" s="24" t="s">
        <v>141</v>
      </c>
      <c r="I42" s="24"/>
      <c r="J42" s="24"/>
      <c r="K42" s="24"/>
      <c r="L42" s="24"/>
      <c r="M42" s="24"/>
      <c r="N42" s="24"/>
      <c r="O42" s="24"/>
      <c r="P42" s="24"/>
      <c r="Q42" s="24"/>
      <c r="R42" s="24"/>
      <c r="S42" s="24"/>
      <c r="T42" s="24"/>
      <c r="U42" s="24"/>
      <c r="V42" s="24"/>
      <c r="W42" s="24"/>
      <c r="X42" s="24"/>
      <c r="Y42" s="24"/>
      <c r="Z42" s="24"/>
      <c r="AA42" s="24"/>
      <c r="AB42" s="24"/>
    </row>
    <row r="43" spans="1:28" s="23" customFormat="1" ht="31.5">
      <c r="A43" s="24" t="s">
        <v>24</v>
      </c>
      <c r="B43" s="24" t="s">
        <v>87</v>
      </c>
      <c r="C43" s="25" t="s">
        <v>142</v>
      </c>
      <c r="D43" s="24"/>
      <c r="E43" s="24"/>
      <c r="F43" s="24"/>
      <c r="G43" s="24"/>
      <c r="H43" s="24" t="s">
        <v>143</v>
      </c>
      <c r="I43" s="24"/>
      <c r="J43" s="24"/>
      <c r="K43" s="24"/>
      <c r="L43" s="24"/>
      <c r="M43" s="24"/>
      <c r="N43" s="24"/>
      <c r="O43" s="24"/>
      <c r="P43" s="24"/>
      <c r="Q43" s="24"/>
      <c r="R43" s="24"/>
      <c r="S43" s="24"/>
      <c r="T43" s="24"/>
      <c r="U43" s="24"/>
      <c r="V43" s="24"/>
      <c r="W43" s="24"/>
      <c r="X43" s="24"/>
      <c r="Y43" s="24"/>
      <c r="Z43" s="24"/>
      <c r="AA43" s="24"/>
      <c r="AB43" s="24"/>
    </row>
    <row r="44" spans="1:28" s="23" customFormat="1" ht="31.5">
      <c r="A44" s="24" t="s">
        <v>24</v>
      </c>
      <c r="B44" s="24" t="s">
        <v>87</v>
      </c>
      <c r="C44" s="25" t="s">
        <v>144</v>
      </c>
      <c r="D44" s="24"/>
      <c r="E44" s="24"/>
      <c r="F44" s="24"/>
      <c r="G44" s="24"/>
      <c r="H44" s="24" t="s">
        <v>145</v>
      </c>
      <c r="I44" s="24"/>
      <c r="J44" s="24"/>
      <c r="K44" s="24"/>
      <c r="L44" s="24"/>
      <c r="M44" s="24"/>
      <c r="N44" s="24"/>
      <c r="O44" s="24"/>
      <c r="P44" s="24"/>
      <c r="Q44" s="24"/>
      <c r="R44" s="24"/>
      <c r="S44" s="24"/>
      <c r="T44" s="24"/>
      <c r="U44" s="24"/>
      <c r="V44" s="24"/>
      <c r="W44" s="24"/>
      <c r="X44" s="24"/>
      <c r="Y44" s="24"/>
      <c r="Z44" s="24"/>
      <c r="AA44" s="24"/>
      <c r="AB44" s="24"/>
    </row>
    <row r="45" spans="1:28" s="23" customFormat="1">
      <c r="A45" s="24" t="s">
        <v>146</v>
      </c>
      <c r="B45" s="24" t="s">
        <v>87</v>
      </c>
      <c r="C45" s="25" t="s">
        <v>147</v>
      </c>
      <c r="D45" s="24"/>
      <c r="E45" s="24"/>
      <c r="F45" s="24"/>
      <c r="G45" s="24"/>
      <c r="H45" s="24"/>
      <c r="I45" s="24"/>
      <c r="J45" s="24"/>
      <c r="K45" s="24"/>
      <c r="L45" s="24"/>
      <c r="M45" s="24"/>
      <c r="N45" s="24"/>
      <c r="O45" s="24"/>
      <c r="P45" s="24"/>
      <c r="Q45" s="24"/>
      <c r="R45" s="24"/>
      <c r="S45" s="24"/>
      <c r="T45" s="24"/>
      <c r="U45" s="24"/>
      <c r="V45" s="24"/>
      <c r="W45" s="24"/>
      <c r="X45" s="24"/>
      <c r="Y45" s="24"/>
      <c r="Z45" s="24"/>
      <c r="AA45" s="24"/>
      <c r="AB45" s="24"/>
    </row>
    <row r="46" spans="1:28" s="23" customFormat="1">
      <c r="A46" s="24" t="s">
        <v>148</v>
      </c>
      <c r="B46" s="24" t="s">
        <v>87</v>
      </c>
      <c r="C46" s="25" t="s">
        <v>149</v>
      </c>
      <c r="D46" s="24"/>
      <c r="E46" s="24"/>
      <c r="F46" s="24"/>
      <c r="G46" s="24"/>
      <c r="H46" s="24"/>
      <c r="I46" s="24"/>
      <c r="J46" s="24"/>
      <c r="K46" s="24"/>
      <c r="L46" s="24"/>
      <c r="M46" s="24"/>
      <c r="N46" s="24"/>
      <c r="O46" s="24"/>
      <c r="P46" s="24"/>
      <c r="Q46" s="24"/>
      <c r="R46" s="24"/>
      <c r="S46" s="24"/>
      <c r="T46" s="24"/>
      <c r="U46" s="24"/>
      <c r="V46" s="24"/>
      <c r="W46" s="24"/>
      <c r="X46" s="24"/>
      <c r="Y46" s="24"/>
      <c r="Z46" s="24"/>
      <c r="AA46" s="24"/>
      <c r="AB46" s="24"/>
    </row>
    <row r="47" spans="1:28" s="23" customFormat="1">
      <c r="A47" s="24" t="s">
        <v>36</v>
      </c>
      <c r="B47" s="24" t="s">
        <v>87</v>
      </c>
      <c r="C47" s="25" t="s">
        <v>150</v>
      </c>
      <c r="D47" s="24"/>
      <c r="E47" s="24"/>
      <c r="F47" s="24"/>
      <c r="G47" s="24"/>
      <c r="H47" s="24"/>
      <c r="I47" s="24"/>
      <c r="J47" s="24"/>
      <c r="K47" s="24"/>
      <c r="L47" s="24"/>
      <c r="M47" s="24"/>
      <c r="N47" s="24"/>
      <c r="O47" s="24"/>
      <c r="P47" s="24"/>
      <c r="Q47" s="24"/>
      <c r="R47" s="24"/>
      <c r="S47" s="24"/>
      <c r="T47" s="24"/>
      <c r="U47" s="24"/>
      <c r="V47" s="24"/>
      <c r="W47" s="24"/>
      <c r="X47" s="24"/>
      <c r="Y47" s="24"/>
      <c r="Z47" s="24"/>
      <c r="AA47" s="24"/>
      <c r="AB47" s="24"/>
    </row>
    <row r="48" spans="1:28" s="23" customFormat="1">
      <c r="A48" s="24" t="s">
        <v>27</v>
      </c>
      <c r="B48" s="24" t="s">
        <v>87</v>
      </c>
      <c r="C48" s="25"/>
      <c r="D48" s="24"/>
      <c r="E48" s="24"/>
      <c r="F48" s="24"/>
      <c r="G48" s="24"/>
      <c r="H48" s="24"/>
      <c r="I48" s="24"/>
      <c r="J48" s="24"/>
      <c r="K48" s="24"/>
      <c r="L48" s="24"/>
      <c r="M48" s="24"/>
      <c r="N48" s="24"/>
      <c r="O48" s="24"/>
      <c r="P48" s="24"/>
      <c r="Q48" s="24"/>
      <c r="R48" s="24"/>
      <c r="S48" s="24"/>
      <c r="T48" s="24"/>
      <c r="U48" s="24"/>
      <c r="V48" s="24"/>
      <c r="W48" s="24"/>
      <c r="X48" s="24"/>
      <c r="Y48" s="24"/>
      <c r="Z48" s="24"/>
      <c r="AA48" s="24"/>
      <c r="AB48" s="24"/>
    </row>
    <row r="49" spans="1:28" s="23" customFormat="1">
      <c r="A49" s="24" t="s">
        <v>28</v>
      </c>
      <c r="B49" s="24" t="s">
        <v>87</v>
      </c>
      <c r="C49" s="25"/>
      <c r="D49" s="24"/>
      <c r="E49" s="24"/>
      <c r="F49" s="24"/>
      <c r="G49" s="24"/>
      <c r="H49" s="24"/>
      <c r="I49" s="24"/>
      <c r="J49" s="24"/>
      <c r="K49" s="24"/>
      <c r="L49" s="24"/>
      <c r="M49" s="24"/>
      <c r="N49" s="24"/>
      <c r="O49" s="24"/>
      <c r="P49" s="24"/>
      <c r="Q49" s="24"/>
      <c r="R49" s="24"/>
      <c r="S49" s="24"/>
      <c r="T49" s="24"/>
      <c r="U49" s="24"/>
      <c r="V49" s="24"/>
      <c r="W49" s="24"/>
      <c r="X49" s="24"/>
      <c r="Y49" s="24"/>
      <c r="Z49" s="24"/>
      <c r="AA49" s="24"/>
      <c r="AB49" s="24"/>
    </row>
    <row r="50" spans="1:28" s="23" customFormat="1">
      <c r="A50" s="24" t="s">
        <v>29</v>
      </c>
      <c r="B50" s="24" t="s">
        <v>87</v>
      </c>
      <c r="C50" s="25"/>
      <c r="D50" s="24"/>
      <c r="E50" s="24"/>
      <c r="F50" s="24"/>
      <c r="G50" s="24"/>
      <c r="H50" s="24"/>
      <c r="I50" s="24"/>
      <c r="J50" s="24"/>
      <c r="K50" s="24"/>
      <c r="L50" s="24"/>
      <c r="M50" s="24"/>
      <c r="N50" s="24"/>
      <c r="O50" s="24"/>
      <c r="P50" s="24"/>
      <c r="Q50" s="24"/>
      <c r="R50" s="24"/>
      <c r="S50" s="24"/>
      <c r="T50" s="24"/>
      <c r="U50" s="24"/>
      <c r="V50" s="24"/>
      <c r="W50" s="24"/>
      <c r="X50" s="24"/>
      <c r="Y50" s="24"/>
      <c r="Z50" s="24"/>
      <c r="AA50" s="24"/>
      <c r="AB50" s="24"/>
    </row>
    <row r="51" spans="1:28" s="23" customFormat="1">
      <c r="A51" s="24" t="s">
        <v>30</v>
      </c>
      <c r="B51" s="24" t="s">
        <v>87</v>
      </c>
      <c r="C51" s="25"/>
      <c r="D51" s="24"/>
      <c r="E51" s="24"/>
      <c r="F51" s="24"/>
      <c r="G51" s="24"/>
      <c r="H51" s="24"/>
      <c r="I51" s="24"/>
      <c r="J51" s="24"/>
      <c r="K51" s="24"/>
      <c r="L51" s="24"/>
      <c r="M51" s="24"/>
      <c r="N51" s="24"/>
      <c r="O51" s="24"/>
      <c r="P51" s="24"/>
      <c r="Q51" s="24"/>
      <c r="R51" s="24"/>
      <c r="S51" s="24"/>
      <c r="T51" s="24"/>
      <c r="U51" s="24"/>
      <c r="V51" s="24"/>
      <c r="W51" s="24"/>
      <c r="X51" s="24"/>
      <c r="Y51" s="24"/>
      <c r="Z51" s="24"/>
      <c r="AA51" s="24"/>
      <c r="AB51" s="24"/>
    </row>
    <row r="52" spans="1:28" s="23" customFormat="1">
      <c r="A52" s="24" t="s">
        <v>32</v>
      </c>
      <c r="B52" s="24" t="s">
        <v>87</v>
      </c>
      <c r="C52" s="25"/>
      <c r="D52" s="24"/>
      <c r="E52" s="24"/>
      <c r="F52" s="24"/>
      <c r="G52" s="24"/>
      <c r="H52" s="24"/>
      <c r="I52" s="24"/>
      <c r="J52" s="24"/>
      <c r="K52" s="24"/>
      <c r="L52" s="24"/>
      <c r="M52" s="24"/>
      <c r="N52" s="24"/>
      <c r="O52" s="24"/>
      <c r="P52" s="24"/>
      <c r="Q52" s="24"/>
      <c r="R52" s="24"/>
      <c r="S52" s="24"/>
      <c r="T52" s="24"/>
      <c r="U52" s="24"/>
      <c r="V52" s="24"/>
      <c r="W52" s="24"/>
      <c r="X52" s="24"/>
      <c r="Y52" s="24"/>
      <c r="Z52" s="24"/>
      <c r="AA52" s="24"/>
      <c r="AB52" s="24"/>
    </row>
    <row r="53" spans="1:28" s="23" customFormat="1">
      <c r="A53" s="24" t="s">
        <v>31</v>
      </c>
      <c r="B53" s="24" t="s">
        <v>87</v>
      </c>
      <c r="C53" s="25"/>
      <c r="D53" s="24"/>
      <c r="E53" s="24"/>
      <c r="F53" s="24"/>
      <c r="G53" s="24"/>
      <c r="H53" s="24"/>
      <c r="I53" s="24"/>
      <c r="J53" s="24"/>
      <c r="K53" s="24"/>
      <c r="L53" s="24"/>
      <c r="M53" s="24"/>
      <c r="N53" s="24"/>
      <c r="O53" s="24"/>
      <c r="P53" s="24"/>
      <c r="Q53" s="24"/>
      <c r="R53" s="24"/>
      <c r="S53" s="24"/>
      <c r="T53" s="24"/>
      <c r="U53" s="24"/>
      <c r="V53" s="24"/>
      <c r="W53" s="24"/>
      <c r="X53" s="24"/>
      <c r="Y53" s="24"/>
      <c r="Z53" s="24"/>
      <c r="AA53" s="24"/>
      <c r="AB53" s="24"/>
    </row>
    <row r="54" spans="1:28" s="23" customFormat="1">
      <c r="A54" s="24" t="s">
        <v>151</v>
      </c>
      <c r="B54" s="24" t="s">
        <v>87</v>
      </c>
      <c r="C54" s="25"/>
      <c r="D54" s="24"/>
      <c r="E54" s="24"/>
      <c r="F54" s="24"/>
      <c r="G54" s="24"/>
      <c r="H54" s="24"/>
      <c r="I54" s="24"/>
      <c r="J54" s="24"/>
      <c r="K54" s="24"/>
      <c r="L54" s="24"/>
      <c r="M54" s="24"/>
      <c r="N54" s="24"/>
      <c r="O54" s="24"/>
      <c r="P54" s="24"/>
      <c r="Q54" s="24"/>
      <c r="R54" s="24"/>
      <c r="S54" s="24"/>
      <c r="T54" s="24"/>
      <c r="U54" s="24"/>
      <c r="V54" s="24"/>
      <c r="W54" s="24"/>
      <c r="X54" s="24"/>
      <c r="Y54" s="24"/>
      <c r="Z54" s="24"/>
      <c r="AA54" s="24"/>
      <c r="AB54" s="24"/>
    </row>
    <row r="55" spans="1:28" s="23" customFormat="1">
      <c r="A55" s="24" t="s">
        <v>41</v>
      </c>
      <c r="B55" s="24" t="s">
        <v>87</v>
      </c>
      <c r="C55" s="25"/>
      <c r="D55" s="24"/>
      <c r="E55" s="24"/>
      <c r="F55" s="24"/>
      <c r="G55" s="24"/>
      <c r="H55" s="24"/>
      <c r="I55" s="24"/>
      <c r="J55" s="24"/>
      <c r="K55" s="24"/>
      <c r="L55" s="24"/>
      <c r="M55" s="24"/>
      <c r="N55" s="24"/>
      <c r="O55" s="24"/>
      <c r="P55" s="24"/>
      <c r="Q55" s="24"/>
      <c r="R55" s="24" t="s">
        <v>152</v>
      </c>
      <c r="S55" s="24"/>
      <c r="T55" s="24"/>
      <c r="U55" s="24"/>
      <c r="V55" s="24"/>
      <c r="W55" s="24"/>
      <c r="X55" s="24"/>
      <c r="Y55" s="24"/>
      <c r="Z55" s="24"/>
      <c r="AA55" s="24"/>
      <c r="AB55" s="24"/>
    </row>
    <row r="56" spans="1:28" s="23" customFormat="1">
      <c r="A56" s="24" t="s">
        <v>153</v>
      </c>
      <c r="B56" s="24" t="s">
        <v>87</v>
      </c>
      <c r="C56" s="25"/>
      <c r="D56" s="24"/>
      <c r="E56" s="24"/>
      <c r="F56" s="24"/>
      <c r="G56" s="24"/>
      <c r="H56" s="24"/>
      <c r="I56" s="24"/>
      <c r="J56" s="24"/>
      <c r="K56" s="24"/>
      <c r="L56" s="24"/>
      <c r="M56" s="24"/>
      <c r="N56" s="24"/>
      <c r="O56" s="24"/>
      <c r="P56" s="24"/>
      <c r="Q56" s="24"/>
      <c r="R56" s="24" t="s">
        <v>154</v>
      </c>
      <c r="S56" s="24"/>
      <c r="T56" s="24"/>
      <c r="U56" s="24"/>
      <c r="V56" s="24"/>
      <c r="W56" s="24"/>
      <c r="X56" s="24"/>
      <c r="Y56" s="24"/>
      <c r="Z56" s="24"/>
      <c r="AA56" s="24"/>
      <c r="AB56" s="24"/>
    </row>
    <row r="57" spans="1:28" s="23" customFormat="1">
      <c r="A57" s="24" t="s">
        <v>155</v>
      </c>
      <c r="B57" s="24" t="s">
        <v>87</v>
      </c>
      <c r="C57" s="25"/>
      <c r="D57" s="24"/>
      <c r="E57" s="24"/>
      <c r="F57" s="24"/>
      <c r="G57" s="24"/>
      <c r="H57" s="24" t="s">
        <v>156</v>
      </c>
      <c r="I57" s="24"/>
      <c r="J57" s="24"/>
      <c r="K57" s="24"/>
      <c r="L57" s="24"/>
      <c r="M57" s="24"/>
      <c r="N57" s="24"/>
      <c r="O57" s="24"/>
      <c r="P57" s="24"/>
      <c r="Q57" s="24"/>
      <c r="R57" s="24"/>
      <c r="S57" s="24"/>
      <c r="T57" s="24"/>
      <c r="U57" s="24"/>
      <c r="V57" s="24"/>
      <c r="W57" s="24"/>
      <c r="X57" s="24"/>
      <c r="Y57" s="24"/>
      <c r="Z57" s="24"/>
      <c r="AA57" s="24"/>
      <c r="AB57" s="24"/>
    </row>
    <row r="58" spans="1:28" s="23" customFormat="1">
      <c r="A58" s="24" t="s">
        <v>157</v>
      </c>
      <c r="B58" s="24" t="s">
        <v>87</v>
      </c>
      <c r="C58" s="25"/>
      <c r="D58" s="24"/>
      <c r="E58" s="24"/>
      <c r="F58" s="24"/>
      <c r="G58" s="24"/>
      <c r="H58" s="24" t="s">
        <v>158</v>
      </c>
      <c r="I58" s="24"/>
      <c r="J58" s="24"/>
      <c r="K58" s="24"/>
      <c r="L58" s="24"/>
      <c r="M58" s="24"/>
      <c r="N58" s="24"/>
      <c r="O58" s="24"/>
      <c r="P58" s="24"/>
      <c r="Q58" s="24"/>
      <c r="R58" s="24"/>
      <c r="S58" s="24"/>
      <c r="T58" s="24"/>
      <c r="U58" s="24"/>
      <c r="V58" s="24"/>
      <c r="W58" s="24"/>
      <c r="X58" s="24"/>
      <c r="Y58" s="24"/>
      <c r="Z58" s="24"/>
      <c r="AA58" s="24"/>
      <c r="AB58" s="24"/>
    </row>
    <row r="59" spans="1:28" s="23" customFormat="1">
      <c r="A59" s="24" t="s">
        <v>157</v>
      </c>
      <c r="B59" s="24" t="s">
        <v>87</v>
      </c>
      <c r="C59" s="25"/>
      <c r="D59" s="24"/>
      <c r="E59" s="24"/>
      <c r="F59" s="24"/>
      <c r="G59" s="24"/>
      <c r="H59" s="24" t="s">
        <v>159</v>
      </c>
      <c r="I59" s="24"/>
      <c r="J59" s="24"/>
      <c r="K59" s="24"/>
      <c r="L59" s="24"/>
      <c r="M59" s="24"/>
      <c r="N59" s="24"/>
      <c r="O59" s="24"/>
      <c r="P59" s="24"/>
      <c r="Q59" s="24"/>
      <c r="R59" s="24"/>
      <c r="S59" s="24"/>
      <c r="T59" s="24"/>
      <c r="U59" s="24"/>
      <c r="V59" s="24"/>
      <c r="W59" s="24"/>
      <c r="X59" s="24"/>
      <c r="Y59" s="24"/>
      <c r="Z59" s="24"/>
      <c r="AA59" s="24"/>
      <c r="AB59" s="24"/>
    </row>
    <row r="60" spans="1:28" s="23" customFormat="1">
      <c r="A60" s="24" t="s">
        <v>157</v>
      </c>
      <c r="B60" s="24" t="s">
        <v>87</v>
      </c>
      <c r="C60" s="25"/>
      <c r="D60" s="24"/>
      <c r="E60" s="24"/>
      <c r="F60" s="24"/>
      <c r="G60" s="24"/>
      <c r="H60" s="24" t="s">
        <v>160</v>
      </c>
      <c r="I60" s="24"/>
      <c r="J60" s="24"/>
      <c r="K60" s="24"/>
      <c r="L60" s="24"/>
      <c r="M60" s="24"/>
      <c r="N60" s="24"/>
      <c r="O60" s="24"/>
      <c r="P60" s="24"/>
      <c r="Q60" s="24"/>
      <c r="R60" s="24"/>
      <c r="S60" s="24"/>
      <c r="T60" s="24"/>
      <c r="U60" s="24"/>
      <c r="V60" s="24"/>
      <c r="W60" s="24"/>
      <c r="X60" s="24"/>
      <c r="Y60" s="24"/>
      <c r="Z60" s="24"/>
      <c r="AA60" s="24"/>
      <c r="AB60" s="24"/>
    </row>
    <row r="61" spans="1:28" s="23" customFormat="1">
      <c r="A61" s="24" t="s">
        <v>39</v>
      </c>
      <c r="B61" s="24" t="s">
        <v>161</v>
      </c>
      <c r="C61" s="25" t="s">
        <v>162</v>
      </c>
      <c r="D61" s="24"/>
      <c r="E61" s="24"/>
      <c r="F61" s="24"/>
      <c r="G61" s="24"/>
      <c r="H61" s="24"/>
      <c r="I61" s="24"/>
      <c r="J61" s="24"/>
      <c r="K61" s="24"/>
      <c r="L61" s="24"/>
      <c r="M61" s="24"/>
      <c r="N61" s="24"/>
      <c r="O61" s="24"/>
      <c r="P61" s="24"/>
      <c r="Q61" s="24"/>
      <c r="R61" s="24"/>
      <c r="S61" s="24"/>
      <c r="T61" s="24"/>
      <c r="U61" s="24"/>
      <c r="V61" s="24"/>
      <c r="W61" s="24"/>
      <c r="X61" s="24"/>
      <c r="Y61" s="24"/>
      <c r="Z61" s="24"/>
      <c r="AA61" s="24"/>
      <c r="AB61" s="24"/>
    </row>
    <row r="62" spans="1:28" s="23" customFormat="1">
      <c r="A62" s="24" t="s">
        <v>163</v>
      </c>
      <c r="B62" s="24"/>
      <c r="C62" s="25"/>
      <c r="D62" s="24"/>
      <c r="E62" s="24"/>
      <c r="F62" s="24"/>
      <c r="G62" s="24"/>
      <c r="H62" s="24"/>
      <c r="I62" s="24"/>
      <c r="J62" s="24"/>
      <c r="K62" s="24"/>
      <c r="L62" s="24"/>
      <c r="M62" s="24"/>
      <c r="N62" s="24"/>
      <c r="O62" s="24"/>
      <c r="P62" s="24"/>
      <c r="Q62" s="24"/>
      <c r="R62" s="24"/>
      <c r="S62" s="24"/>
      <c r="T62" s="24"/>
      <c r="U62" s="24"/>
      <c r="V62" s="24"/>
      <c r="W62" s="24"/>
      <c r="X62" s="24"/>
      <c r="Y62" s="24"/>
      <c r="Z62" s="24"/>
      <c r="AA62" s="24"/>
      <c r="AB62" s="24"/>
    </row>
    <row r="63" spans="1:28" s="23" customFormat="1">
      <c r="A63" s="24" t="s">
        <v>46</v>
      </c>
      <c r="B63" s="24" t="s">
        <v>161</v>
      </c>
      <c r="C63" s="25"/>
      <c r="D63" s="24"/>
      <c r="E63" s="24"/>
      <c r="F63" s="24"/>
      <c r="G63" s="24"/>
      <c r="H63" s="24"/>
      <c r="I63" s="24"/>
      <c r="J63" s="24"/>
      <c r="K63" s="24"/>
      <c r="L63" s="24"/>
      <c r="M63" s="24"/>
      <c r="N63" s="24"/>
      <c r="O63" s="24"/>
      <c r="P63" s="24"/>
      <c r="Q63" s="24"/>
      <c r="R63" s="24"/>
      <c r="S63" s="24"/>
      <c r="T63" s="24"/>
      <c r="U63" s="24"/>
      <c r="V63" s="24"/>
      <c r="W63" s="24"/>
      <c r="X63" s="24"/>
      <c r="Y63" s="24"/>
      <c r="Z63" s="24"/>
      <c r="AA63" s="24"/>
      <c r="AB63" s="24"/>
    </row>
    <row r="64" spans="1:28" s="23" customFormat="1">
      <c r="A64" s="24" t="s">
        <v>40</v>
      </c>
      <c r="B64" s="24" t="s">
        <v>164</v>
      </c>
      <c r="C64" s="25" t="s">
        <v>165</v>
      </c>
      <c r="D64" s="24"/>
      <c r="E64" s="24"/>
      <c r="F64" s="24"/>
      <c r="G64" s="24"/>
      <c r="H64" s="24"/>
      <c r="I64" s="24"/>
      <c r="J64" s="24"/>
      <c r="K64" s="24"/>
      <c r="L64" s="24"/>
      <c r="M64" s="24"/>
      <c r="N64" s="24"/>
      <c r="O64" s="24"/>
      <c r="P64" s="24"/>
      <c r="Q64" s="24"/>
      <c r="R64" s="24"/>
      <c r="S64" s="24"/>
      <c r="T64" s="24"/>
      <c r="U64" s="24"/>
      <c r="V64" s="24"/>
      <c r="W64" s="24"/>
      <c r="X64" s="24"/>
      <c r="Y64" s="24"/>
      <c r="Z64" s="24"/>
      <c r="AA64" s="24"/>
      <c r="AB64" s="24"/>
    </row>
    <row r="65" spans="1:28" s="23" customFormat="1">
      <c r="A65" s="24" t="s">
        <v>163</v>
      </c>
      <c r="B65" s="24"/>
      <c r="C65" s="25"/>
      <c r="D65" s="24"/>
      <c r="E65" s="24"/>
      <c r="F65" s="24"/>
      <c r="G65" s="24"/>
      <c r="H65" s="24"/>
      <c r="I65" s="24"/>
      <c r="J65" s="24"/>
      <c r="K65" s="24"/>
      <c r="L65" s="24"/>
      <c r="M65" s="24"/>
      <c r="N65" s="24"/>
      <c r="O65" s="24"/>
      <c r="P65" s="24"/>
      <c r="Q65" s="24"/>
      <c r="R65" s="24"/>
      <c r="S65" s="24"/>
      <c r="T65" s="24"/>
      <c r="U65" s="24"/>
      <c r="V65" s="24"/>
      <c r="W65" s="24"/>
      <c r="X65" s="24"/>
      <c r="Y65" s="24"/>
      <c r="Z65" s="24"/>
      <c r="AA65" s="24"/>
      <c r="AB65" s="24"/>
    </row>
    <row r="66" spans="1:28" s="23" customFormat="1">
      <c r="A66" s="24" t="s">
        <v>44</v>
      </c>
      <c r="B66" s="24" t="s">
        <v>164</v>
      </c>
      <c r="C66" s="25"/>
      <c r="D66" s="24"/>
      <c r="E66" s="24"/>
      <c r="F66" s="24"/>
      <c r="G66" s="24"/>
      <c r="H66" s="24"/>
      <c r="I66" s="24"/>
      <c r="J66" s="24"/>
      <c r="K66" s="24"/>
      <c r="L66" s="24"/>
      <c r="M66" s="24"/>
      <c r="N66" s="24"/>
      <c r="O66" s="24"/>
      <c r="P66" s="24"/>
      <c r="Q66" s="24"/>
      <c r="R66" s="24"/>
      <c r="S66" s="24"/>
      <c r="T66" s="24"/>
      <c r="U66" s="24"/>
      <c r="V66" s="24"/>
      <c r="W66" s="24"/>
      <c r="X66" s="24"/>
      <c r="Y66" s="24"/>
      <c r="Z66" s="24"/>
      <c r="AA66" s="24"/>
      <c r="AB66" s="24"/>
    </row>
    <row r="67" spans="1:28" s="23" customFormat="1">
      <c r="A67" s="24" t="s">
        <v>40</v>
      </c>
      <c r="B67" s="24" t="s">
        <v>164</v>
      </c>
      <c r="C67" s="25" t="s">
        <v>166</v>
      </c>
      <c r="D67" s="24"/>
      <c r="E67" s="24"/>
      <c r="F67" s="24"/>
      <c r="G67" s="24"/>
      <c r="H67" s="24"/>
      <c r="I67" s="24"/>
      <c r="J67" s="24"/>
      <c r="K67" s="24"/>
      <c r="L67" s="24"/>
      <c r="M67" s="24"/>
      <c r="N67" s="24"/>
      <c r="O67" s="24"/>
      <c r="P67" s="24"/>
      <c r="Q67" s="24"/>
      <c r="R67" s="24"/>
      <c r="S67" s="27">
        <v>3</v>
      </c>
      <c r="T67" s="24"/>
      <c r="U67" s="24"/>
      <c r="V67" s="24"/>
      <c r="W67" s="24"/>
      <c r="X67" s="24"/>
      <c r="Y67" s="24"/>
      <c r="Z67" s="24"/>
      <c r="AA67" s="24"/>
      <c r="AB67" s="24"/>
    </row>
    <row r="68" spans="1:28" s="23" customFormat="1">
      <c r="A68" s="24" t="s">
        <v>163</v>
      </c>
      <c r="B68" s="24"/>
      <c r="C68" s="25"/>
      <c r="D68" s="24"/>
      <c r="E68" s="24"/>
      <c r="F68" s="24"/>
      <c r="G68" s="24"/>
      <c r="H68" s="24"/>
      <c r="I68" s="24"/>
      <c r="J68" s="24"/>
      <c r="K68" s="24"/>
      <c r="L68" s="24"/>
      <c r="M68" s="24"/>
      <c r="N68" s="24"/>
      <c r="O68" s="24"/>
      <c r="P68" s="24"/>
      <c r="Q68" s="24"/>
      <c r="R68" s="24"/>
      <c r="S68" s="24"/>
      <c r="T68" s="24"/>
      <c r="U68" s="24"/>
      <c r="V68" s="24"/>
      <c r="W68" s="24"/>
      <c r="X68" s="24"/>
      <c r="Y68" s="24"/>
      <c r="Z68" s="24"/>
      <c r="AA68" s="24"/>
      <c r="AB68" s="24"/>
    </row>
    <row r="69" spans="1:28" s="23" customFormat="1">
      <c r="A69" s="24" t="s">
        <v>44</v>
      </c>
      <c r="B69" s="24" t="s">
        <v>164</v>
      </c>
      <c r="C69" s="25"/>
      <c r="D69" s="24"/>
      <c r="E69" s="24"/>
      <c r="F69" s="24"/>
      <c r="G69" s="24"/>
      <c r="H69" s="24"/>
      <c r="I69" s="24"/>
      <c r="J69" s="24"/>
      <c r="K69" s="24"/>
      <c r="L69" s="24"/>
      <c r="M69" s="24"/>
      <c r="N69" s="24"/>
      <c r="O69" s="24"/>
      <c r="P69" s="24"/>
      <c r="Q69" s="24"/>
      <c r="R69" s="24"/>
      <c r="S69" s="24"/>
      <c r="T69" s="24"/>
      <c r="U69" s="24"/>
      <c r="V69" s="24"/>
      <c r="W69" s="24"/>
      <c r="X69" s="24"/>
      <c r="Y69" s="24"/>
      <c r="Z69" s="24"/>
      <c r="AA69" s="24"/>
      <c r="AB69" s="24"/>
    </row>
    <row r="71" spans="1:28">
      <c r="A71" s="68" t="s">
        <v>167</v>
      </c>
      <c r="B71" s="69"/>
      <c r="C71" s="28"/>
      <c r="D71" s="29"/>
      <c r="E71" s="30"/>
      <c r="F71" s="30"/>
      <c r="G71" s="30"/>
      <c r="H71" s="30"/>
      <c r="I71" s="30"/>
      <c r="J71" s="30"/>
      <c r="K71" s="30"/>
      <c r="L71" s="30"/>
      <c r="M71" s="30"/>
      <c r="N71" s="30"/>
      <c r="O71" s="30"/>
      <c r="P71" s="30"/>
      <c r="Q71" s="30"/>
      <c r="R71" s="30"/>
      <c r="S71" s="30"/>
      <c r="T71" s="30"/>
      <c r="U71" s="30"/>
      <c r="V71" s="30"/>
      <c r="W71" s="30"/>
      <c r="X71" s="30"/>
      <c r="Y71" s="30"/>
      <c r="Z71" s="30"/>
      <c r="AA71" s="30"/>
      <c r="AB71" s="30"/>
    </row>
    <row r="73" spans="1:28">
      <c r="A73" s="31" t="s">
        <v>168</v>
      </c>
      <c r="B73" s="31" t="s">
        <v>169</v>
      </c>
      <c r="C73" s="31" t="s">
        <v>170</v>
      </c>
      <c r="D73" s="31" t="s">
        <v>171</v>
      </c>
    </row>
    <row r="74" spans="1:28">
      <c r="A74" s="32" t="s">
        <v>172</v>
      </c>
      <c r="B74" s="32" t="s">
        <v>173</v>
      </c>
      <c r="C74" s="32" t="s">
        <v>174</v>
      </c>
      <c r="D74" s="32">
        <v>2</v>
      </c>
    </row>
    <row r="75" spans="1:28">
      <c r="A75" s="32" t="s">
        <v>175</v>
      </c>
      <c r="B75" s="32" t="s">
        <v>176</v>
      </c>
      <c r="C75" s="33" t="str">
        <f>"3 - 2"</f>
        <v>3 - 2</v>
      </c>
      <c r="D75" s="32">
        <v>1</v>
      </c>
    </row>
    <row r="76" spans="1:28">
      <c r="A76" s="32" t="s">
        <v>177</v>
      </c>
      <c r="B76" s="32" t="s">
        <v>178</v>
      </c>
      <c r="C76" s="32" t="s">
        <v>179</v>
      </c>
      <c r="D76" s="32">
        <v>6</v>
      </c>
    </row>
    <row r="77" spans="1:28">
      <c r="A77" s="32" t="s">
        <v>180</v>
      </c>
      <c r="B77" s="32" t="s">
        <v>181</v>
      </c>
      <c r="C77" s="32" t="s">
        <v>182</v>
      </c>
      <c r="D77" s="32">
        <v>5</v>
      </c>
    </row>
    <row r="78" spans="1:28">
      <c r="A78" s="32" t="s">
        <v>183</v>
      </c>
      <c r="B78" s="32" t="s">
        <v>184</v>
      </c>
      <c r="C78" s="32" t="s">
        <v>185</v>
      </c>
      <c r="D78" s="32">
        <v>1</v>
      </c>
    </row>
    <row r="79" spans="1:28">
      <c r="A79" s="32" t="s">
        <v>186</v>
      </c>
      <c r="B79" s="32" t="s">
        <v>187</v>
      </c>
      <c r="C79" s="32" t="s">
        <v>188</v>
      </c>
      <c r="D79" s="32" t="s">
        <v>189</v>
      </c>
    </row>
    <row r="80" spans="1:28">
      <c r="A80" s="32" t="s">
        <v>190</v>
      </c>
      <c r="B80" s="32" t="s">
        <v>191</v>
      </c>
      <c r="C80" s="32" t="s">
        <v>192</v>
      </c>
      <c r="D80" s="32" t="s">
        <v>189</v>
      </c>
    </row>
    <row r="81" spans="1:4">
      <c r="A81" s="32" t="s">
        <v>193</v>
      </c>
      <c r="B81" s="32" t="s">
        <v>194</v>
      </c>
      <c r="C81" s="32" t="s">
        <v>195</v>
      </c>
      <c r="D81" s="32" t="s">
        <v>189</v>
      </c>
    </row>
    <row r="82" spans="1:4">
      <c r="A82" s="32" t="s">
        <v>196</v>
      </c>
      <c r="B82" s="32" t="s">
        <v>197</v>
      </c>
      <c r="C82" s="32" t="s">
        <v>198</v>
      </c>
      <c r="D82" s="32" t="s">
        <v>189</v>
      </c>
    </row>
    <row r="83" spans="1:4">
      <c r="A83" s="32" t="s">
        <v>199</v>
      </c>
      <c r="B83" s="32" t="s">
        <v>200</v>
      </c>
      <c r="C83" s="32" t="s">
        <v>201</v>
      </c>
      <c r="D83" s="32" t="s">
        <v>189</v>
      </c>
    </row>
    <row r="84" spans="1:4">
      <c r="A84" s="32" t="s">
        <v>202</v>
      </c>
      <c r="B84" s="32" t="s">
        <v>203</v>
      </c>
      <c r="C84" s="32" t="s">
        <v>204</v>
      </c>
      <c r="D84" s="32" t="s">
        <v>189</v>
      </c>
    </row>
    <row r="85" spans="1:4">
      <c r="A85" s="32" t="s">
        <v>205</v>
      </c>
      <c r="B85" s="32" t="s">
        <v>206</v>
      </c>
      <c r="C85" s="32" t="s">
        <v>207</v>
      </c>
      <c r="D85" s="32" t="s">
        <v>189</v>
      </c>
    </row>
    <row r="86" spans="1:4">
      <c r="A86" s="32" t="s">
        <v>208</v>
      </c>
      <c r="B86" s="32" t="s">
        <v>209</v>
      </c>
      <c r="C86" s="32" t="s">
        <v>210</v>
      </c>
      <c r="D86" s="32" t="s">
        <v>189</v>
      </c>
    </row>
    <row r="87" spans="1:4">
      <c r="A87" s="32" t="s">
        <v>211</v>
      </c>
      <c r="B87" s="32" t="s">
        <v>212</v>
      </c>
      <c r="C87" s="32" t="s">
        <v>213</v>
      </c>
      <c r="D87" s="32" t="s">
        <v>214</v>
      </c>
    </row>
    <row r="88" spans="1:4">
      <c r="A88" s="29"/>
      <c r="B88" s="29"/>
      <c r="C88" s="28"/>
      <c r="D88" s="29"/>
    </row>
    <row r="89" spans="1:4">
      <c r="A89" s="29"/>
      <c r="B89" s="31" t="s">
        <v>215</v>
      </c>
      <c r="C89" s="31" t="s">
        <v>170</v>
      </c>
      <c r="D89" s="29"/>
    </row>
    <row r="90" spans="1:4">
      <c r="A90" s="29"/>
      <c r="B90" s="34" t="s">
        <v>216</v>
      </c>
      <c r="C90" s="35" t="s">
        <v>217</v>
      </c>
      <c r="D90" s="29"/>
    </row>
    <row r="91" spans="1:4">
      <c r="A91" s="29"/>
      <c r="B91" s="35" t="s">
        <v>217</v>
      </c>
      <c r="C91" s="35" t="s">
        <v>217</v>
      </c>
      <c r="D91" s="29"/>
    </row>
    <row r="92" spans="1:4" ht="31.5">
      <c r="A92" s="29"/>
      <c r="B92" s="35" t="s">
        <v>218</v>
      </c>
      <c r="C92" s="35" t="s">
        <v>219</v>
      </c>
      <c r="D92" s="29"/>
    </row>
    <row r="93" spans="1:4">
      <c r="A93" s="29"/>
      <c r="B93" s="35" t="s">
        <v>220</v>
      </c>
      <c r="C93" s="35" t="s">
        <v>221</v>
      </c>
      <c r="D93" s="29"/>
    </row>
    <row r="94" spans="1:4">
      <c r="A94" s="29"/>
      <c r="B94" s="35" t="s">
        <v>222</v>
      </c>
      <c r="C94" s="35" t="s">
        <v>223</v>
      </c>
      <c r="D94" s="29"/>
    </row>
    <row r="95" spans="1:4">
      <c r="A95" s="29"/>
      <c r="B95" s="35" t="s">
        <v>224</v>
      </c>
      <c r="C95" s="35" t="s">
        <v>225</v>
      </c>
      <c r="D95" s="29"/>
    </row>
    <row r="96" spans="1:4">
      <c r="A96" s="29"/>
      <c r="B96" s="35" t="s">
        <v>226</v>
      </c>
      <c r="C96" s="35" t="s">
        <v>227</v>
      </c>
      <c r="D96" s="29"/>
    </row>
    <row r="97" spans="1:4" ht="47.25">
      <c r="A97" s="29"/>
      <c r="B97" s="35" t="s">
        <v>228</v>
      </c>
      <c r="C97" s="35" t="s">
        <v>229</v>
      </c>
      <c r="D97" s="29"/>
    </row>
    <row r="98" spans="1:4">
      <c r="A98" s="29"/>
      <c r="B98" s="35" t="s">
        <v>230</v>
      </c>
      <c r="C98" s="35" t="s">
        <v>231</v>
      </c>
      <c r="D98" s="29"/>
    </row>
    <row r="99" spans="1:4">
      <c r="A99" s="29"/>
      <c r="B99" s="35" t="s">
        <v>42</v>
      </c>
      <c r="C99" s="35" t="s">
        <v>42</v>
      </c>
      <c r="D99" s="29"/>
    </row>
    <row r="100" spans="1:4">
      <c r="A100" s="29"/>
      <c r="B100" s="35" t="s">
        <v>232</v>
      </c>
      <c r="C100" s="35" t="s">
        <v>233</v>
      </c>
      <c r="D100" s="29"/>
    </row>
    <row r="101" spans="1:4">
      <c r="A101" s="29"/>
      <c r="B101" s="35" t="s">
        <v>234</v>
      </c>
      <c r="C101" s="35" t="s">
        <v>235</v>
      </c>
      <c r="D101" s="29"/>
    </row>
    <row r="102" spans="1:4">
      <c r="A102" s="29"/>
      <c r="B102" s="35" t="s">
        <v>236</v>
      </c>
      <c r="C102" s="35" t="s">
        <v>237</v>
      </c>
      <c r="D102" s="29"/>
    </row>
    <row r="103" spans="1:4">
      <c r="A103" s="29"/>
      <c r="B103" s="35" t="s">
        <v>238</v>
      </c>
      <c r="C103" s="35" t="s">
        <v>239</v>
      </c>
      <c r="D103" s="29"/>
    </row>
    <row r="104" spans="1:4">
      <c r="A104" s="29"/>
      <c r="B104" s="35" t="s">
        <v>240</v>
      </c>
      <c r="C104" s="35" t="s">
        <v>241</v>
      </c>
      <c r="D104" s="29"/>
    </row>
    <row r="105" spans="1:4" ht="31.5">
      <c r="A105" s="29"/>
      <c r="B105" s="35" t="s">
        <v>242</v>
      </c>
      <c r="C105" s="35" t="s">
        <v>243</v>
      </c>
      <c r="D105" s="29"/>
    </row>
    <row r="106" spans="1:4">
      <c r="A106" s="29"/>
      <c r="B106" s="35" t="s">
        <v>244</v>
      </c>
      <c r="C106" s="35" t="s">
        <v>245</v>
      </c>
      <c r="D106" s="29"/>
    </row>
    <row r="107" spans="1:4">
      <c r="A107" s="29"/>
      <c r="B107" s="35" t="s">
        <v>246</v>
      </c>
      <c r="C107" s="35" t="s">
        <v>247</v>
      </c>
      <c r="D107" s="29"/>
    </row>
    <row r="108" spans="1:4">
      <c r="A108" s="29"/>
      <c r="B108" s="35" t="s">
        <v>248</v>
      </c>
      <c r="C108" s="35" t="s">
        <v>249</v>
      </c>
      <c r="D108" s="29"/>
    </row>
    <row r="109" spans="1:4" ht="31.5">
      <c r="A109" s="29"/>
      <c r="B109" s="35" t="s">
        <v>250</v>
      </c>
      <c r="C109" s="35" t="s">
        <v>251</v>
      </c>
      <c r="D109" s="29"/>
    </row>
    <row r="110" spans="1:4" ht="47.25">
      <c r="A110" s="29"/>
      <c r="B110" s="35" t="s">
        <v>252</v>
      </c>
      <c r="C110" s="35" t="s">
        <v>253</v>
      </c>
      <c r="D110" s="29"/>
    </row>
    <row r="111" spans="1:4">
      <c r="A111" s="29"/>
      <c r="B111" s="35" t="s">
        <v>254</v>
      </c>
      <c r="C111" s="35" t="s">
        <v>255</v>
      </c>
      <c r="D111" s="29"/>
    </row>
    <row r="112" spans="1:4">
      <c r="A112" s="29"/>
      <c r="B112" s="35" t="s">
        <v>256</v>
      </c>
      <c r="C112" s="35" t="s">
        <v>257</v>
      </c>
      <c r="D112" s="29"/>
    </row>
    <row r="113" spans="1:4">
      <c r="A113" s="29"/>
      <c r="B113" s="35" t="s">
        <v>258</v>
      </c>
      <c r="C113" s="35" t="s">
        <v>259</v>
      </c>
      <c r="D113" s="29"/>
    </row>
    <row r="114" spans="1:4">
      <c r="A114" s="29"/>
      <c r="B114" s="35" t="s">
        <v>260</v>
      </c>
      <c r="C114" s="35" t="s">
        <v>261</v>
      </c>
      <c r="D114" s="29"/>
    </row>
    <row r="115" spans="1:4" ht="31.5">
      <c r="A115" s="29"/>
      <c r="B115" s="35" t="s">
        <v>262</v>
      </c>
      <c r="C115" s="35" t="s">
        <v>263</v>
      </c>
      <c r="D115" s="29"/>
    </row>
    <row r="116" spans="1:4" ht="31.5">
      <c r="A116" s="29"/>
      <c r="B116" s="35" t="s">
        <v>264</v>
      </c>
      <c r="C116" s="35" t="s">
        <v>265</v>
      </c>
      <c r="D116" s="29"/>
    </row>
    <row r="117" spans="1:4">
      <c r="A117" s="29"/>
      <c r="B117" s="36" t="s">
        <v>266</v>
      </c>
      <c r="C117" s="36" t="s">
        <v>267</v>
      </c>
      <c r="D117" s="29"/>
    </row>
    <row r="118" spans="1:4" ht="31.5">
      <c r="A118" s="29"/>
      <c r="B118" s="36" t="s">
        <v>268</v>
      </c>
      <c r="C118" s="36" t="s">
        <v>154</v>
      </c>
      <c r="D118" s="29"/>
    </row>
    <row r="119" spans="1:4">
      <c r="A119" s="29"/>
      <c r="B119" s="36" t="s">
        <v>269</v>
      </c>
      <c r="C119" s="36" t="s">
        <v>269</v>
      </c>
      <c r="D119" s="29"/>
    </row>
    <row r="120" spans="1:4">
      <c r="A120" s="29"/>
      <c r="B120" s="36" t="s">
        <v>270</v>
      </c>
      <c r="C120" s="36" t="s">
        <v>270</v>
      </c>
      <c r="D120" s="29"/>
    </row>
    <row r="121" spans="1:4">
      <c r="A121" s="29"/>
      <c r="B121" s="36" t="s">
        <v>271</v>
      </c>
      <c r="C121" s="36" t="s">
        <v>271</v>
      </c>
      <c r="D121" s="29"/>
    </row>
  </sheetData>
  <mergeCells count="5">
    <mergeCell ref="A1:B1"/>
    <mergeCell ref="A2:B2"/>
    <mergeCell ref="A3:B3"/>
    <mergeCell ref="A8:B8"/>
    <mergeCell ref="A71:B71"/>
  </mergeCells>
  <conditionalFormatting sqref="A5:J5 L5:O5 Q5:S5">
    <cfRule type="expression" dxfId="82" priority="95" stopIfTrue="1">
      <formula>$A5="begin repeat"</formula>
    </cfRule>
    <cfRule type="expression" dxfId="81" priority="96" stopIfTrue="1">
      <formula>$A5="end group"</formula>
    </cfRule>
    <cfRule type="expression" dxfId="80" priority="98" stopIfTrue="1">
      <formula>$A5="begin group"</formula>
    </cfRule>
  </conditionalFormatting>
  <conditionalFormatting sqref="A5:J5 Q5:S5">
    <cfRule type="expression" dxfId="79" priority="75" stopIfTrue="1">
      <formula>OR($A5="calculate", $A5="calculate_here")</formula>
    </cfRule>
    <cfRule type="expression" dxfId="78" priority="77" stopIfTrue="1">
      <formula>$A5="note"</formula>
    </cfRule>
    <cfRule type="expression" dxfId="77" priority="79" stopIfTrue="1">
      <formula>$A5="barcode"</formula>
    </cfRule>
    <cfRule type="expression" dxfId="76" priority="81" stopIfTrue="1">
      <formula>$A5="geopoint"</formula>
    </cfRule>
    <cfRule type="expression" dxfId="75" priority="83" stopIfTrue="1">
      <formula>OR($A5="audio audit", $A5="text audit")</formula>
    </cfRule>
    <cfRule type="expression" dxfId="74" priority="84" stopIfTrue="1">
      <formula>OR($A5="phonenumber", $A5="start", $A5="end", $A5="deviceid", $A5="subscriberid", $A5="simserial")</formula>
    </cfRule>
    <cfRule type="expression" dxfId="73" priority="86" stopIfTrue="1">
      <formula>OR(AND(LEFT($A5, 16)="select_multiple ", LEN($A5)&gt;16, NOT(ISNUMBER(SEARCH(" ", $A5, 17)))), AND(LEFT($A5, 11)="select_one ", LEN($A5)&gt;11, NOT(ISNUMBER(SEARCH(" ", $A5, 12)))))</formula>
    </cfRule>
    <cfRule type="expression" dxfId="72" priority="88" stopIfTrue="1">
      <formula>$A5="decimal"</formula>
    </cfRule>
    <cfRule type="expression" dxfId="71" priority="90" stopIfTrue="1">
      <formula>$A5="integer"</formula>
    </cfRule>
    <cfRule type="expression" dxfId="70" priority="92" stopIfTrue="1">
      <formula>$A5="text"</formula>
    </cfRule>
    <cfRule type="expression" dxfId="69" priority="93" stopIfTrue="1">
      <formula>$A5="end repeat"</formula>
    </cfRule>
  </conditionalFormatting>
  <conditionalFormatting sqref="A5:J5">
    <cfRule type="expression" dxfId="68" priority="67" stopIfTrue="1">
      <formula>$A5="comments"</formula>
    </cfRule>
    <cfRule type="expression" dxfId="67" priority="69" stopIfTrue="1">
      <formula>OR($A5="audio", $A5="video")</formula>
    </cfRule>
    <cfRule type="expression" dxfId="66" priority="71" stopIfTrue="1">
      <formula>$A5="image"</formula>
    </cfRule>
    <cfRule type="expression" dxfId="65" priority="73" stopIfTrue="1">
      <formula>OR($A5="date", $A5="datetime")</formula>
    </cfRule>
  </conditionalFormatting>
  <conditionalFormatting sqref="B5 H5">
    <cfRule type="expression" dxfId="64" priority="82" stopIfTrue="1">
      <formula>OR($A5="audio audit", $A5="text audit")</formula>
    </cfRule>
  </conditionalFormatting>
  <conditionalFormatting sqref="B5 R5">
    <cfRule type="expression" dxfId="63" priority="74" stopIfTrue="1">
      <formula>OR($A5="calculate", $A5="calculate_here")</formula>
    </cfRule>
  </conditionalFormatting>
  <conditionalFormatting sqref="B5">
    <cfRule type="expression" dxfId="62" priority="66" stopIfTrue="1">
      <formula>$A5="comments"</formula>
    </cfRule>
  </conditionalFormatting>
  <conditionalFormatting sqref="B5:C5 H5 L5">
    <cfRule type="expression" dxfId="61" priority="97" stopIfTrue="1">
      <formula>$A5="begin group"</formula>
    </cfRule>
  </conditionalFormatting>
  <conditionalFormatting sqref="B5:C5 H5">
    <cfRule type="expression" dxfId="60" priority="70" stopIfTrue="1">
      <formula>$A5="image"</formula>
    </cfRule>
    <cfRule type="expression" dxfId="59" priority="72" stopIfTrue="1">
      <formula>OR($A5="date", $A5="datetime")</formula>
    </cfRule>
    <cfRule type="expression" dxfId="58" priority="85" stopIfTrue="1">
      <formula>OR(AND(LEFT($A5, 16)="select_multiple ", LEN($A5)&gt;16, NOT(ISNUMBER(SEARCH(" ", $A5, 17)))), AND(LEFT($A5, 11)="select_one ", LEN($A5)&gt;11, NOT(ISNUMBER(SEARCH(" ", $A5, 12)))))</formula>
    </cfRule>
  </conditionalFormatting>
  <conditionalFormatting sqref="B5:C5 S5 L5">
    <cfRule type="expression" dxfId="57" priority="94" stopIfTrue="1">
      <formula>$A5="begin repeat"</formula>
    </cfRule>
  </conditionalFormatting>
  <conditionalFormatting sqref="B5:C5">
    <cfRule type="expression" dxfId="56" priority="68" stopIfTrue="1">
      <formula>OR($A5="audio", $A5="video")</formula>
    </cfRule>
    <cfRule type="expression" dxfId="55" priority="76" stopIfTrue="1">
      <formula>$A5="note"</formula>
    </cfRule>
    <cfRule type="expression" dxfId="54" priority="78" stopIfTrue="1">
      <formula>$A5="barcode"</formula>
    </cfRule>
    <cfRule type="expression" dxfId="53" priority="80" stopIfTrue="1">
      <formula>$A5="geopoint"</formula>
    </cfRule>
  </conditionalFormatting>
  <conditionalFormatting sqref="B5:F5 H5">
    <cfRule type="expression" dxfId="52" priority="91" stopIfTrue="1">
      <formula>$A5="text"</formula>
    </cfRule>
  </conditionalFormatting>
  <conditionalFormatting sqref="B5:F5 I5:J5">
    <cfRule type="expression" dxfId="51" priority="87" stopIfTrue="1">
      <formula>$A5="decimal"</formula>
    </cfRule>
    <cfRule type="expression" dxfId="50" priority="89" stopIfTrue="1">
      <formula>$A5="integer"</formula>
    </cfRule>
  </conditionalFormatting>
  <conditionalFormatting sqref="D5">
    <cfRule type="expression" dxfId="49" priority="39" stopIfTrue="1">
      <formula>OR($A5="audio", $A5="video")</formula>
    </cfRule>
    <cfRule type="expression" dxfId="48" priority="40" stopIfTrue="1">
      <formula>$A5="image"</formula>
    </cfRule>
    <cfRule type="expression" dxfId="47" priority="41" stopIfTrue="1">
      <formula>OR($A5="date", $A5="datetime")</formula>
    </cfRule>
    <cfRule type="expression" dxfId="46" priority="42" stopIfTrue="1">
      <formula>$A5="note"</formula>
    </cfRule>
    <cfRule type="expression" dxfId="45" priority="43" stopIfTrue="1">
      <formula>$A5="barcode"</formula>
    </cfRule>
    <cfRule type="expression" dxfId="44" priority="44" stopIfTrue="1">
      <formula>$A5="geopoint"</formula>
    </cfRule>
    <cfRule type="expression" dxfId="43" priority="45" stopIfTrue="1">
      <formula>OR(AND(LEFT($A5, 16)="select_multiple ", LEN($A5)&gt;16, NOT(ISNUMBER(SEARCH(" ", $A5, 17)))), AND(LEFT($A5, 11)="select_one ", LEN($A5)&gt;11, NOT(ISNUMBER(SEARCH(" ", $A5, 12)))))</formula>
    </cfRule>
    <cfRule type="expression" dxfId="42" priority="46" stopIfTrue="1">
      <formula>$A5="begin repeat"</formula>
    </cfRule>
    <cfRule type="expression" dxfId="41" priority="47" stopIfTrue="1">
      <formula>$A5="begin group"</formula>
    </cfRule>
  </conditionalFormatting>
  <conditionalFormatting sqref="K5">
    <cfRule type="expression" dxfId="40" priority="30" stopIfTrue="1">
      <formula>$A5="decimal"</formula>
    </cfRule>
    <cfRule type="expression" dxfId="39" priority="32" stopIfTrue="1">
      <formula>$A5="integer"</formula>
    </cfRule>
    <cfRule type="expression" dxfId="38" priority="36" stopIfTrue="1">
      <formula>$A5="begin repeat"</formula>
    </cfRule>
    <cfRule type="expression" dxfId="37" priority="37" stopIfTrue="1">
      <formula>$A5="end group"</formula>
    </cfRule>
    <cfRule type="expression" dxfId="36" priority="38" stopIfTrue="1">
      <formula>$A5="begin group"</formula>
    </cfRule>
  </conditionalFormatting>
  <conditionalFormatting sqref="K5:O5">
    <cfRule type="expression" dxfId="35" priority="31" stopIfTrue="1">
      <formula>$A5="decimal"</formula>
    </cfRule>
    <cfRule type="expression" dxfId="34" priority="33" stopIfTrue="1">
      <formula>$A5="integer"</formula>
    </cfRule>
    <cfRule type="expression" dxfId="33" priority="34" stopIfTrue="1">
      <formula>$A5="text"</formula>
    </cfRule>
    <cfRule type="expression" dxfId="32" priority="35" stopIfTrue="1">
      <formula>$A5="end repeat"</formula>
    </cfRule>
  </conditionalFormatting>
  <conditionalFormatting sqref="K5:P5">
    <cfRule type="expression" dxfId="31" priority="5" stopIfTrue="1">
      <formula>OR($A5="calculate", $A5="calculate_here")</formula>
    </cfRule>
    <cfRule type="expression" dxfId="30" priority="6" stopIfTrue="1">
      <formula>$A5="note"</formula>
    </cfRule>
    <cfRule type="expression" dxfId="29" priority="7" stopIfTrue="1">
      <formula>$A5="barcode"</formula>
    </cfRule>
    <cfRule type="expression" dxfId="28" priority="8" stopIfTrue="1">
      <formula>$A5="geopoint"</formula>
    </cfRule>
    <cfRule type="expression" dxfId="27" priority="9" stopIfTrue="1">
      <formula>OR($A5="audio audit", $A5="text audit")</formula>
    </cfRule>
    <cfRule type="expression" dxfId="26" priority="10" stopIfTrue="1">
      <formula>OR($A5="phonenumber", $A5="start", $A5="end", $A5="deviceid", $A5="subscriberid", $A5="simserial")</formula>
    </cfRule>
    <cfRule type="expression" dxfId="25" priority="11" stopIfTrue="1">
      <formula>OR(AND(LEFT($A5, 16)="select_multiple ", LEN($A5)&gt;16, NOT(ISNUMBER(SEARCH(" ", $A5, 17)))), AND(LEFT($A5, 11)="select_one ", LEN($A5)&gt;11, NOT(ISNUMBER(SEARCH(" ", $A5, 12)))))</formula>
    </cfRule>
  </conditionalFormatting>
  <conditionalFormatting sqref="K5:AB5">
    <cfRule type="expression" dxfId="24" priority="1" stopIfTrue="1">
      <formula>$A5="comments"</formula>
    </cfRule>
    <cfRule type="expression" dxfId="23" priority="2" stopIfTrue="1">
      <formula>OR($A5="audio", $A5="video")</formula>
    </cfRule>
    <cfRule type="expression" dxfId="22" priority="3" stopIfTrue="1">
      <formula>$A5="image"</formula>
    </cfRule>
    <cfRule type="expression" dxfId="21" priority="4" stopIfTrue="1">
      <formula>OR($A5="date", $A5="datetime")</formula>
    </cfRule>
  </conditionalFormatting>
  <conditionalFormatting sqref="P5">
    <cfRule type="expression" dxfId="20" priority="12" stopIfTrue="1">
      <formula>$A5="decimal"</formula>
    </cfRule>
    <cfRule type="expression" dxfId="19" priority="13" stopIfTrue="1">
      <formula>$A5="integer"</formula>
    </cfRule>
    <cfRule type="expression" dxfId="18" priority="14" stopIfTrue="1">
      <formula>$A5="text"</formula>
    </cfRule>
    <cfRule type="expression" dxfId="17" priority="15" stopIfTrue="1">
      <formula>$A5="end repeat"</formula>
    </cfRule>
    <cfRule type="expression" dxfId="16" priority="16" stopIfTrue="1">
      <formula>$A5="begin repeat"</formula>
    </cfRule>
    <cfRule type="expression" dxfId="15" priority="17" stopIfTrue="1">
      <formula>$A5="end group"</formula>
    </cfRule>
    <cfRule type="expression" dxfId="14" priority="18" stopIfTrue="1">
      <formula>$A5="begin group"</formula>
    </cfRule>
  </conditionalFormatting>
  <conditionalFormatting sqref="T5:AB5">
    <cfRule type="expression" dxfId="13" priority="52" stopIfTrue="1">
      <formula>OR($A5="calculate", $A5="calculate_here")</formula>
    </cfRule>
    <cfRule type="expression" dxfId="12" priority="53" stopIfTrue="1">
      <formula>$A5="note"</formula>
    </cfRule>
    <cfRule type="expression" dxfId="11" priority="54" stopIfTrue="1">
      <formula>$A5="barcode"</formula>
    </cfRule>
    <cfRule type="expression" dxfId="10" priority="55" stopIfTrue="1">
      <formula>$A5="geopoint"</formula>
    </cfRule>
    <cfRule type="expression" dxfId="9" priority="56" stopIfTrue="1">
      <formula>OR($A5="audio audit", $A5="text audit")</formula>
    </cfRule>
    <cfRule type="expression" dxfId="8" priority="57" stopIfTrue="1">
      <formula>OR($A5="phonenumber", $A5="start", $A5="end", $A5="deviceid", $A5="subscriberid", $A5="simserial")</formula>
    </cfRule>
    <cfRule type="expression" dxfId="7" priority="58" stopIfTrue="1">
      <formula>OR(AND(LEFT($A5, 16)="select_multiple ", LEN($A5)&gt;16, NOT(ISNUMBER(SEARCH(" ", $A5, 17)))), AND(LEFT($A5, 11)="select_one ", LEN($A5)&gt;11, NOT(ISNUMBER(SEARCH(" ", $A5, 12)))))</formula>
    </cfRule>
    <cfRule type="expression" dxfId="6" priority="59" stopIfTrue="1">
      <formula>$A5="decimal"</formula>
    </cfRule>
    <cfRule type="expression" dxfId="5" priority="60" stopIfTrue="1">
      <formula>$A5="integer"</formula>
    </cfRule>
    <cfRule type="expression" dxfId="4" priority="61" stopIfTrue="1">
      <formula>$A5="text"</formula>
    </cfRule>
    <cfRule type="expression" dxfId="3" priority="62" stopIfTrue="1">
      <formula>$A5="end repeat"</formula>
    </cfRule>
    <cfRule type="expression" dxfId="2" priority="63" stopIfTrue="1">
      <formula>$A5="begin repeat"</formula>
    </cfRule>
    <cfRule type="expression" dxfId="1" priority="64" stopIfTrue="1">
      <formula>$A5="end group"</formula>
    </cfRule>
    <cfRule type="expression" dxfId="0" priority="65" stopIfTrue="1">
      <formula>$A5="begin group"</formula>
    </cfRule>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election activeCell="A4" sqref="A4"/>
    </sheetView>
  </sheetViews>
  <sheetFormatPr baseColWidth="10" defaultRowHeight="15.75"/>
  <cols>
    <col min="1" max="7" width="36" customWidth="1"/>
  </cols>
  <sheetData>
    <row r="1" spans="1:8" ht="15" customHeight="1">
      <c r="A1" s="61" t="s">
        <v>272</v>
      </c>
      <c r="B1" s="62"/>
    </row>
    <row r="2" spans="1:8">
      <c r="A2" s="63"/>
      <c r="B2" s="64"/>
    </row>
    <row r="3" spans="1:8" ht="99" customHeight="1">
      <c r="A3" s="65" t="s">
        <v>273</v>
      </c>
      <c r="B3" s="66"/>
    </row>
    <row r="5" spans="1:8" s="3" customFormat="1" ht="18" customHeight="1">
      <c r="A5" s="11" t="s">
        <v>23</v>
      </c>
      <c r="B5" s="11" t="s">
        <v>2</v>
      </c>
      <c r="C5" s="37" t="s">
        <v>22</v>
      </c>
      <c r="D5" s="37" t="s">
        <v>50</v>
      </c>
      <c r="E5" s="11" t="s">
        <v>24</v>
      </c>
      <c r="F5" s="11" t="s">
        <v>274</v>
      </c>
      <c r="G5" s="11" t="s">
        <v>275</v>
      </c>
    </row>
    <row r="6" spans="1:8" s="20" customFormat="1" ht="204.75">
      <c r="A6" s="19" t="s">
        <v>276</v>
      </c>
      <c r="B6" s="19" t="s">
        <v>277</v>
      </c>
      <c r="C6" s="19" t="s">
        <v>278</v>
      </c>
      <c r="D6" s="19" t="s">
        <v>61</v>
      </c>
      <c r="E6" s="19" t="s">
        <v>279</v>
      </c>
      <c r="F6" s="19" t="s">
        <v>280</v>
      </c>
      <c r="G6" s="19" t="s">
        <v>281</v>
      </c>
      <c r="H6" s="19"/>
    </row>
  </sheetData>
  <mergeCells count="3">
    <mergeCell ref="A1:B1"/>
    <mergeCell ref="A2:B2"/>
    <mergeCell ref="A3:B3"/>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activeCell="A4" sqref="A4"/>
    </sheetView>
  </sheetViews>
  <sheetFormatPr baseColWidth="10" defaultRowHeight="15.75"/>
  <cols>
    <col min="1" max="6" width="36" customWidth="1"/>
  </cols>
  <sheetData>
    <row r="1" spans="1:8">
      <c r="A1" s="70" t="s">
        <v>282</v>
      </c>
      <c r="B1" s="71"/>
      <c r="C1" s="38"/>
      <c r="D1" s="38"/>
      <c r="E1" s="38"/>
      <c r="F1" s="38"/>
    </row>
    <row r="2" spans="1:8">
      <c r="A2" s="63"/>
      <c r="B2" s="64"/>
      <c r="C2" s="38"/>
      <c r="D2" s="38"/>
      <c r="E2" s="38"/>
      <c r="F2" s="38"/>
    </row>
    <row r="3" spans="1:8" ht="54.95" customHeight="1">
      <c r="A3" s="65" t="s">
        <v>283</v>
      </c>
      <c r="B3" s="66"/>
      <c r="C3" s="38"/>
      <c r="D3" s="38"/>
      <c r="E3" s="38"/>
      <c r="F3" s="38"/>
    </row>
    <row r="4" spans="1:8">
      <c r="A4" s="38"/>
      <c r="B4" s="38"/>
      <c r="C4" s="38"/>
      <c r="D4" s="38"/>
      <c r="E4" s="38"/>
      <c r="F4" s="38"/>
    </row>
    <row r="5" spans="1:8" s="5" customFormat="1" ht="18" customHeight="1">
      <c r="A5" s="39" t="s">
        <v>17</v>
      </c>
      <c r="B5" s="39" t="s">
        <v>18</v>
      </c>
      <c r="C5" s="39" t="s">
        <v>21</v>
      </c>
      <c r="D5" s="39" t="s">
        <v>19</v>
      </c>
      <c r="E5" s="39" t="s">
        <v>20</v>
      </c>
      <c r="F5" s="40" t="s">
        <v>25</v>
      </c>
      <c r="H5" s="7"/>
    </row>
    <row r="6" spans="1:8" s="20" customFormat="1" ht="315">
      <c r="A6" s="19" t="s">
        <v>284</v>
      </c>
      <c r="B6" s="19" t="s">
        <v>285</v>
      </c>
      <c r="C6" s="19" t="s">
        <v>286</v>
      </c>
      <c r="D6" s="19" t="s">
        <v>287</v>
      </c>
      <c r="E6" s="19" t="s">
        <v>288</v>
      </c>
      <c r="F6" s="19" t="s">
        <v>289</v>
      </c>
    </row>
    <row r="7" spans="1:8">
      <c r="A7" s="41"/>
      <c r="B7" s="41"/>
      <c r="C7" s="41"/>
      <c r="D7" s="41"/>
      <c r="E7" s="41"/>
      <c r="F7" s="41"/>
    </row>
    <row r="8" spans="1:8">
      <c r="A8" s="41"/>
      <c r="B8" s="41"/>
      <c r="C8" s="41"/>
      <c r="D8" s="41"/>
      <c r="E8" s="41"/>
      <c r="F8" s="41"/>
    </row>
  </sheetData>
  <mergeCells count="3">
    <mergeCell ref="A1:B1"/>
    <mergeCell ref="A2:B2"/>
    <mergeCell ref="A3:B3"/>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julianlopces@gmail.com</cp:lastModifiedBy>
  <cp:revision>69</cp:revision>
  <cp:lastPrinted>1601-01-01T00:00:00Z</cp:lastPrinted>
  <dcterms:created xsi:type="dcterms:W3CDTF">2011-04-25T12:27:36Z</dcterms:created>
  <dcterms:modified xsi:type="dcterms:W3CDTF">2026-02-26T14:29:00Z</dcterms:modified>
</cp:coreProperties>
</file>